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il\source\repos\ka-member\api\config\"/>
    </mc:Choice>
  </mc:AlternateContent>
  <xr:revisionPtr revIDLastSave="0" documentId="13_ncr:1_{9F921B73-DCB0-4F43-97B4-C957576E47EE}" xr6:coauthVersionLast="46" xr6:coauthVersionMax="46" xr10:uidLastSave="{00000000-0000-0000-0000-000000000000}"/>
  <bookViews>
    <workbookView xWindow="13380" yWindow="2790" windowWidth="17070" windowHeight="17400" xr2:uid="{00000000-000D-0000-FFFF-FFFF00000000}"/>
  </bookViews>
  <sheets>
    <sheet name="parameters" sheetId="1" r:id="rId1"/>
    <sheet name="SQL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74" i="1" l="1"/>
  <c r="S74" i="1"/>
  <c r="U74" i="1" s="1"/>
  <c r="R74" i="1"/>
  <c r="L74" i="1"/>
  <c r="H74" i="1"/>
  <c r="D74" i="1"/>
  <c r="B74" i="1"/>
  <c r="T73" i="1"/>
  <c r="S73" i="1"/>
  <c r="U73" i="1" s="1"/>
  <c r="R73" i="1"/>
  <c r="L73" i="1"/>
  <c r="H73" i="1"/>
  <c r="D73" i="1"/>
  <c r="B73" i="1"/>
  <c r="T72" i="1"/>
  <c r="S72" i="1"/>
  <c r="U72" i="1" s="1"/>
  <c r="R72" i="1"/>
  <c r="L72" i="1"/>
  <c r="H72" i="1"/>
  <c r="D72" i="1"/>
  <c r="B72" i="1"/>
  <c r="T71" i="1"/>
  <c r="S71" i="1"/>
  <c r="U71" i="1" s="1"/>
  <c r="R71" i="1"/>
  <c r="L71" i="1"/>
  <c r="H71" i="1"/>
  <c r="D71" i="1"/>
  <c r="B71" i="1"/>
  <c r="T70" i="1"/>
  <c r="S70" i="1"/>
  <c r="U70" i="1" s="1"/>
  <c r="R70" i="1"/>
  <c r="L70" i="1"/>
  <c r="H70" i="1"/>
  <c r="D70" i="1"/>
  <c r="B70" i="1"/>
  <c r="T69" i="1"/>
  <c r="S69" i="1"/>
  <c r="U69" i="1" s="1"/>
  <c r="R69" i="1"/>
  <c r="L69" i="1"/>
  <c r="H69" i="1"/>
  <c r="D69" i="1"/>
  <c r="B69" i="1"/>
  <c r="T68" i="1"/>
  <c r="S68" i="1"/>
  <c r="U68" i="1" s="1"/>
  <c r="R68" i="1"/>
  <c r="L68" i="1"/>
  <c r="H68" i="1"/>
  <c r="D68" i="1"/>
  <c r="B68" i="1"/>
  <c r="T67" i="1"/>
  <c r="S67" i="1"/>
  <c r="U67" i="1" s="1"/>
  <c r="R67" i="1"/>
  <c r="L67" i="1"/>
  <c r="H67" i="1"/>
  <c r="D67" i="1"/>
  <c r="B67" i="1"/>
  <c r="T66" i="1"/>
  <c r="S66" i="1"/>
  <c r="U66" i="1" s="1"/>
  <c r="R66" i="1"/>
  <c r="L66" i="1"/>
  <c r="H66" i="1"/>
  <c r="D66" i="1"/>
  <c r="B66" i="1"/>
  <c r="T65" i="1"/>
  <c r="S65" i="1"/>
  <c r="U65" i="1" s="1"/>
  <c r="R65" i="1"/>
  <c r="L65" i="1"/>
  <c r="H65" i="1"/>
  <c r="D65" i="1"/>
  <c r="B65" i="1"/>
  <c r="T64" i="1"/>
  <c r="S64" i="1"/>
  <c r="U64" i="1" s="1"/>
  <c r="R64" i="1"/>
  <c r="L64" i="1"/>
  <c r="H64" i="1"/>
  <c r="D64" i="1"/>
  <c r="B64" i="1"/>
  <c r="T63" i="1"/>
  <c r="S63" i="1"/>
  <c r="U63" i="1" s="1"/>
  <c r="R63" i="1"/>
  <c r="L63" i="1"/>
  <c r="H63" i="1"/>
  <c r="D63" i="1"/>
  <c r="B63" i="1"/>
  <c r="T62" i="1"/>
  <c r="S62" i="1"/>
  <c r="U62" i="1" s="1"/>
  <c r="R62" i="1"/>
  <c r="L62" i="1"/>
  <c r="H62" i="1"/>
  <c r="D62" i="1"/>
  <c r="B62" i="1"/>
  <c r="T61" i="1"/>
  <c r="S61" i="1"/>
  <c r="U61" i="1" s="1"/>
  <c r="R61" i="1"/>
  <c r="L61" i="1"/>
  <c r="H61" i="1"/>
  <c r="D61" i="1"/>
  <c r="B61" i="1"/>
  <c r="T60" i="1"/>
  <c r="S60" i="1"/>
  <c r="U60" i="1" s="1"/>
  <c r="R60" i="1"/>
  <c r="L60" i="1"/>
  <c r="H60" i="1"/>
  <c r="D60" i="1"/>
  <c r="B60" i="1"/>
  <c r="T59" i="1"/>
  <c r="S59" i="1"/>
  <c r="U59" i="1" s="1"/>
  <c r="R59" i="1"/>
  <c r="L59" i="1"/>
  <c r="H59" i="1"/>
  <c r="D59" i="1"/>
  <c r="B59" i="1"/>
  <c r="T58" i="1"/>
  <c r="S58" i="1"/>
  <c r="U58" i="1" s="1"/>
  <c r="R58" i="1"/>
  <c r="L58" i="1"/>
  <c r="H58" i="1"/>
  <c r="D58" i="1"/>
  <c r="B58" i="1"/>
  <c r="T57" i="1"/>
  <c r="S57" i="1"/>
  <c r="U57" i="1" s="1"/>
  <c r="R57" i="1"/>
  <c r="L57" i="1"/>
  <c r="H57" i="1"/>
  <c r="D57" i="1"/>
  <c r="B57" i="1"/>
  <c r="T56" i="1"/>
  <c r="S56" i="1"/>
  <c r="U56" i="1" s="1"/>
  <c r="R56" i="1"/>
  <c r="L56" i="1"/>
  <c r="H56" i="1"/>
  <c r="D56" i="1"/>
  <c r="B56" i="1"/>
  <c r="T55" i="1"/>
  <c r="S55" i="1"/>
  <c r="U55" i="1" s="1"/>
  <c r="R55" i="1"/>
  <c r="L55" i="1"/>
  <c r="H55" i="1"/>
  <c r="D55" i="1"/>
  <c r="B55" i="1"/>
  <c r="T54" i="1"/>
  <c r="S54" i="1"/>
  <c r="U54" i="1" s="1"/>
  <c r="R54" i="1"/>
  <c r="L54" i="1"/>
  <c r="H54" i="1"/>
  <c r="D54" i="1"/>
  <c r="B54" i="1"/>
  <c r="T53" i="1"/>
  <c r="S53" i="1"/>
  <c r="U53" i="1" s="1"/>
  <c r="R53" i="1"/>
  <c r="L53" i="1"/>
  <c r="H53" i="1"/>
  <c r="D53" i="1"/>
  <c r="B53" i="1"/>
  <c r="T52" i="1"/>
  <c r="S52" i="1"/>
  <c r="U52" i="1" s="1"/>
  <c r="R52" i="1"/>
  <c r="L52" i="1"/>
  <c r="H52" i="1"/>
  <c r="D52" i="1"/>
  <c r="B52" i="1"/>
  <c r="B12" i="1"/>
  <c r="C12" i="1" s="1"/>
  <c r="B19" i="1"/>
  <c r="C19" i="1" s="1"/>
  <c r="B10" i="1"/>
  <c r="C10" i="1" s="1"/>
  <c r="L50" i="1" s="1"/>
  <c r="B34" i="1"/>
  <c r="C34" i="1" s="1"/>
  <c r="B33" i="1"/>
  <c r="C33" i="1" s="1"/>
  <c r="B32" i="1"/>
  <c r="C32" i="1" s="1"/>
  <c r="B31" i="1"/>
  <c r="C31" i="1" s="1"/>
  <c r="S12" i="1" l="1"/>
  <c r="F12" i="1"/>
  <c r="U12" i="1"/>
  <c r="V12" i="1" s="1"/>
  <c r="L12" i="1"/>
  <c r="D12" i="1"/>
  <c r="H50" i="1"/>
  <c r="B50" i="1"/>
  <c r="D50" i="1"/>
  <c r="S19" i="1"/>
  <c r="D19" i="1"/>
  <c r="U19" i="1"/>
  <c r="V19" i="1" s="1"/>
  <c r="L19" i="1"/>
  <c r="F19" i="1"/>
  <c r="S10" i="1"/>
  <c r="L10" i="1"/>
  <c r="D10" i="1"/>
  <c r="F10" i="1"/>
  <c r="U10" i="1"/>
  <c r="V10" i="1" s="1"/>
  <c r="S33" i="1"/>
  <c r="D33" i="1"/>
  <c r="U33" i="1"/>
  <c r="V33" i="1" s="1"/>
  <c r="L33" i="1"/>
  <c r="F33" i="1"/>
  <c r="S34" i="1"/>
  <c r="F34" i="1"/>
  <c r="L34" i="1"/>
  <c r="D34" i="1"/>
  <c r="U34" i="1"/>
  <c r="V34" i="1" s="1"/>
  <c r="S31" i="1"/>
  <c r="F31" i="1"/>
  <c r="D31" i="1"/>
  <c r="U31" i="1"/>
  <c r="V31" i="1" s="1"/>
  <c r="L31" i="1"/>
  <c r="S32" i="1"/>
  <c r="L32" i="1"/>
  <c r="F32" i="1"/>
  <c r="D32" i="1"/>
  <c r="U32" i="1"/>
  <c r="V32" i="1" s="1"/>
  <c r="B2" i="1"/>
  <c r="C2" i="1" s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1" i="1"/>
  <c r="C11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1" i="1"/>
  <c r="C1" i="1" s="1"/>
  <c r="L51" i="1" l="1"/>
  <c r="H51" i="1"/>
  <c r="D51" i="1"/>
  <c r="B51" i="1"/>
  <c r="L42" i="1"/>
  <c r="D42" i="1"/>
  <c r="B42" i="1"/>
  <c r="H42" i="1"/>
  <c r="L49" i="1"/>
  <c r="H49" i="1"/>
  <c r="D49" i="1"/>
  <c r="B49" i="1"/>
  <c r="L48" i="1"/>
  <c r="D48" i="1"/>
  <c r="B48" i="1"/>
  <c r="H48" i="1"/>
  <c r="L46" i="1"/>
  <c r="D46" i="1"/>
  <c r="B46" i="1"/>
  <c r="H46" i="1"/>
  <c r="L45" i="1"/>
  <c r="H45" i="1"/>
  <c r="D45" i="1"/>
  <c r="B45" i="1"/>
  <c r="L47" i="1"/>
  <c r="H47" i="1"/>
  <c r="D47" i="1"/>
  <c r="B47" i="1"/>
  <c r="L44" i="1"/>
  <c r="D44" i="1"/>
  <c r="B44" i="1"/>
  <c r="H44" i="1"/>
  <c r="L43" i="1"/>
  <c r="H43" i="1"/>
  <c r="D43" i="1"/>
  <c r="B43" i="1"/>
  <c r="D41" i="1"/>
  <c r="L41" i="1"/>
  <c r="L14" i="1"/>
  <c r="D4" i="1"/>
  <c r="U24" i="1"/>
  <c r="V24" i="1" s="1"/>
  <c r="S24" i="1"/>
  <c r="L24" i="1"/>
  <c r="F24" i="1"/>
  <c r="D24" i="1"/>
  <c r="S22" i="1"/>
  <c r="U22" i="1"/>
  <c r="V22" i="1" s="1"/>
  <c r="D22" i="1"/>
  <c r="F22" i="1"/>
  <c r="L22" i="1"/>
  <c r="U3" i="1"/>
  <c r="V3" i="1" s="1"/>
  <c r="S3" i="1"/>
  <c r="D3" i="1"/>
  <c r="F3" i="1"/>
  <c r="L3" i="1"/>
  <c r="U17" i="1"/>
  <c r="V17" i="1" s="1"/>
  <c r="S17" i="1"/>
  <c r="L17" i="1"/>
  <c r="F17" i="1"/>
  <c r="D17" i="1"/>
  <c r="U15" i="1"/>
  <c r="V15" i="1" s="1"/>
  <c r="S15" i="1"/>
  <c r="L15" i="1"/>
  <c r="F15" i="1"/>
  <c r="D15" i="1"/>
  <c r="U30" i="1"/>
  <c r="V30" i="1" s="1"/>
  <c r="S30" i="1"/>
  <c r="D30" i="1"/>
  <c r="F30" i="1"/>
  <c r="L30" i="1"/>
  <c r="U29" i="1"/>
  <c r="V29" i="1" s="1"/>
  <c r="S29" i="1"/>
  <c r="F29" i="1"/>
  <c r="D29" i="1"/>
  <c r="L29" i="1"/>
  <c r="U21" i="1"/>
  <c r="V21" i="1" s="1"/>
  <c r="S21" i="1"/>
  <c r="F21" i="1"/>
  <c r="D21" i="1"/>
  <c r="L21" i="1"/>
  <c r="S50" i="1"/>
  <c r="R50" i="1" s="1"/>
  <c r="U11" i="1"/>
  <c r="V11" i="1" s="1"/>
  <c r="S11" i="1"/>
  <c r="F11" i="1"/>
  <c r="D11" i="1"/>
  <c r="L11" i="1"/>
  <c r="U2" i="1"/>
  <c r="V2" i="1" s="1"/>
  <c r="S2" i="1"/>
  <c r="F2" i="1"/>
  <c r="D2" i="1"/>
  <c r="L2" i="1"/>
  <c r="S26" i="1"/>
  <c r="U26" i="1"/>
  <c r="V26" i="1" s="1"/>
  <c r="L26" i="1"/>
  <c r="D26" i="1"/>
  <c r="F26" i="1"/>
  <c r="U16" i="1"/>
  <c r="V16" i="1" s="1"/>
  <c r="S16" i="1"/>
  <c r="L16" i="1"/>
  <c r="F16" i="1"/>
  <c r="D16" i="1"/>
  <c r="S45" i="1"/>
  <c r="R45" i="1" s="1"/>
  <c r="U5" i="1"/>
  <c r="V5" i="1" s="1"/>
  <c r="S5" i="1"/>
  <c r="L5" i="1"/>
  <c r="F5" i="1"/>
  <c r="D5" i="1"/>
  <c r="S51" i="1"/>
  <c r="R51" i="1" s="1"/>
  <c r="U13" i="1"/>
  <c r="V13" i="1" s="1"/>
  <c r="S13" i="1"/>
  <c r="D13" i="1"/>
  <c r="F13" i="1"/>
  <c r="L13" i="1"/>
  <c r="U28" i="1"/>
  <c r="V28" i="1" s="1"/>
  <c r="S28" i="1"/>
  <c r="F28" i="1"/>
  <c r="D28" i="1"/>
  <c r="L28" i="1"/>
  <c r="S20" i="1"/>
  <c r="U20" i="1"/>
  <c r="V20" i="1" s="1"/>
  <c r="F20" i="1"/>
  <c r="D20" i="1"/>
  <c r="L20" i="1"/>
  <c r="S49" i="1"/>
  <c r="R49" i="1" s="1"/>
  <c r="S9" i="1"/>
  <c r="U9" i="1"/>
  <c r="V9" i="1" s="1"/>
  <c r="F9" i="1"/>
  <c r="D9" i="1"/>
  <c r="L9" i="1"/>
  <c r="S27" i="1"/>
  <c r="U27" i="1"/>
  <c r="V27" i="1" s="1"/>
  <c r="D27" i="1"/>
  <c r="F27" i="1"/>
  <c r="L27" i="1"/>
  <c r="S18" i="1"/>
  <c r="U18" i="1"/>
  <c r="V18" i="1" s="1"/>
  <c r="D18" i="1"/>
  <c r="F18" i="1"/>
  <c r="L18" i="1"/>
  <c r="S48" i="1"/>
  <c r="R48" i="1" s="1"/>
  <c r="S8" i="1"/>
  <c r="U8" i="1"/>
  <c r="V8" i="1" s="1"/>
  <c r="D8" i="1"/>
  <c r="F8" i="1"/>
  <c r="L8" i="1"/>
  <c r="S47" i="1"/>
  <c r="R47" i="1" s="1"/>
  <c r="S7" i="1"/>
  <c r="U7" i="1"/>
  <c r="V7" i="1" s="1"/>
  <c r="L7" i="1"/>
  <c r="F7" i="1"/>
  <c r="D7" i="1"/>
  <c r="U25" i="1"/>
  <c r="V25" i="1" s="1"/>
  <c r="S25" i="1"/>
  <c r="L25" i="1"/>
  <c r="F25" i="1"/>
  <c r="D25" i="1"/>
  <c r="S46" i="1"/>
  <c r="R46" i="1" s="1"/>
  <c r="U6" i="1"/>
  <c r="V6" i="1" s="1"/>
  <c r="S6" i="1"/>
  <c r="L6" i="1"/>
  <c r="F6" i="1"/>
  <c r="D6" i="1"/>
  <c r="S1" i="1"/>
  <c r="U1" i="1"/>
  <c r="V1" i="1" s="1"/>
  <c r="F4" i="1"/>
  <c r="F14" i="1"/>
  <c r="F23" i="1"/>
  <c r="L1" i="1"/>
  <c r="D1" i="1"/>
  <c r="D23" i="1"/>
  <c r="D14" i="1"/>
  <c r="S44" i="1"/>
  <c r="R44" i="1" s="1"/>
  <c r="S4" i="1"/>
  <c r="U4" i="1"/>
  <c r="V4" i="1" s="1"/>
  <c r="L4" i="1"/>
  <c r="L23" i="1"/>
  <c r="S14" i="1"/>
  <c r="U14" i="1"/>
  <c r="V14" i="1" s="1"/>
  <c r="B41" i="1"/>
  <c r="F1" i="1"/>
  <c r="S23" i="1"/>
  <c r="U23" i="1"/>
  <c r="V23" i="1" s="1"/>
  <c r="H41" i="1"/>
  <c r="U47" i="1" l="1"/>
  <c r="T47" i="1"/>
  <c r="U50" i="1"/>
  <c r="T50" i="1"/>
  <c r="U45" i="1"/>
  <c r="T45" i="1"/>
  <c r="U48" i="1"/>
  <c r="T48" i="1"/>
  <c r="U49" i="1"/>
  <c r="T49" i="1"/>
  <c r="U46" i="1"/>
  <c r="T46" i="1"/>
  <c r="T44" i="1"/>
  <c r="U44" i="1"/>
  <c r="U51" i="1"/>
  <c r="T51" i="1"/>
</calcChain>
</file>

<file path=xl/sharedStrings.xml><?xml version="1.0" encoding="utf-8"?>
<sst xmlns="http://schemas.openxmlformats.org/spreadsheetml/2006/main" count="132" uniqueCount="102">
  <si>
    <t>SET @S=1, @D=20171123;</t>
  </si>
  <si>
    <t>SELECT WEEK(date),IF(MONTH(date)&gt;=10,1,0)+YEAR(date) as TradingYear, COUNT(takingsid) as count</t>
  </si>
  <si>
    <t>,SUM(clothing_num) as sum_clothing_num</t>
  </si>
  <si>
    <t>,SUM(brica_num) as sum_brica_num</t>
  </si>
  <si>
    <t>,SUM(books_num) as sum_books_num</t>
  </si>
  <si>
    <t>,SUM(linens_num) as sum_linens_num</t>
  </si>
  <si>
    <t>,SUM(donations_num) as sum_donations_num</t>
  </si>
  <si>
    <t>,SUM(other_num) as sum_other_num</t>
  </si>
  <si>
    <t>,SUM(rag_num) as sum_rag_num</t>
  </si>
  <si>
    <t>,SUM(clothing) as sum_clothing</t>
  </si>
  <si>
    <t>,SUM(brica) as sum_brica</t>
  </si>
  <si>
    <t>,SUM(books) as sum_books</t>
  </si>
  <si>
    <t>,SUM(linens) as sum_linens</t>
  </si>
  <si>
    <t>,SUM(donations) as sum_donations</t>
  </si>
  <si>
    <t>,SUM(other) as sum_other</t>
  </si>
  <si>
    <t>,SUM(rag) as sum_rag</t>
  </si>
  <si>
    <t>,SUM(customers_num_total) as sum_customers_num_total</t>
  </si>
  <si>
    <t>,SUM(cash_to_bank) as sum_cash_to_bank</t>
  </si>
  <si>
    <t>,SUM(credit_cards) as sum_credit_cards</t>
  </si>
  <si>
    <t>,SUM(operating_expenses) as sum_operating_expenses</t>
  </si>
  <si>
    <t>,SUM(volunteer_expenses) as sum_volunteer_expenses</t>
  </si>
  <si>
    <t>,SUM(other_adjustments) as sum_other_adjustments</t>
  </si>
  <si>
    <t>,SUM(cash_difference) as sum_cash_difference</t>
  </si>
  <si>
    <t>,SUM(clothing+brica+books+linens+donations+other) as sum_sales_total</t>
  </si>
  <si>
    <t>,SUM(clothing+brica+books+linens+donations+other+rag) as sum_sales_total_inc_rag</t>
  </si>
  <si>
    <t>,SUM(operating_expenses+volunteer_expenses+other_adjustments-cash_difference) as sum_expenses</t>
  </si>
  <si>
    <t>,SUM(clothing+brica+books+linens+donations+other+rag-operating_expenses-volunteer_expenses-other_adjustments+cash_difference) as sum_total_after_expenses</t>
  </si>
  <si>
    <t>,SUM(clothing+brica+books+linens+donations+other+rag-operating_expenses-volunteer_expenses-other_adjustments+cash_difference-donations) as sum_total_after_expenses_and_donations</t>
  </si>
  <si>
    <t>FROM takings t</t>
  </si>
  <si>
    <t>WHERE t.shopid = @S AND t.`date` &lt;= CAST(@D AS DATE)</t>
  </si>
  <si>
    <t>GROUP BY WEEK(date),IF(MONTH(date)&gt;=10,1,0)+YEAR(date)</t>
  </si>
  <si>
    <t>SELECT if(MONTH(date)&gt;=10,-9,+3)+MONTH(date) as TradingMonth,DATE_FORMAT(date, '%b') as MonthName,IF(MONTH(date)&gt;=10,1,0)+YEAR(date) as TradingYear, COUNT(takingsid) as count</t>
  </si>
  <si>
    <t>GROUP BY if(MONTH(date)&gt;=10,-9,+3)+MONTH(date),IF(MONTH(date)&gt;=10,1,0)+YEAR(date)</t>
  </si>
  <si>
    <t>ORDER BY date</t>
  </si>
  <si>
    <t>SELECT WEEKDAY(date) as WeekDay, DATE_FORMAT(date, '%W') as DayOfWeek, COUNT(takingsid) as count</t>
  </si>
  <si>
    <t>,AVG(clothing_num) as avg_clothing_num</t>
  </si>
  <si>
    <t>,AVG(brica_num) as avg_brica_num</t>
  </si>
  <si>
    <t>,AVG(books_num) as avg_books_num</t>
  </si>
  <si>
    <t>,AVG(linens_num) as avg_linens_num</t>
  </si>
  <si>
    <t>,AVG(donations_num) as avg_donations_num</t>
  </si>
  <si>
    <t>,AVG(other_num) as avg_other_num</t>
  </si>
  <si>
    <t>,AVG(rag_num) as avg_rag_num</t>
  </si>
  <si>
    <t>,AVG(clothing) as avg_clothing</t>
  </si>
  <si>
    <t>,AVG(brica) as avg_brica</t>
  </si>
  <si>
    <t>,AVG(books) as avg_books</t>
  </si>
  <si>
    <t>,AVG(linens) as avg_linens</t>
  </si>
  <si>
    <t>,AVG(donations) as avg_donations</t>
  </si>
  <si>
    <t>,AVG(other) as avg_other</t>
  </si>
  <si>
    <t>,AVG(rag) as avg_rag</t>
  </si>
  <si>
    <t>,AVG(customers_num_total) as avg_customers_num_total</t>
  </si>
  <si>
    <t>,AVG(cash_to_bank) as avg_cash_to_bank</t>
  </si>
  <si>
    <t>,AVG(credit_cards) as avg_credit_cards</t>
  </si>
  <si>
    <t>,AVG(operating_expenses) as avg_operating_expenses</t>
  </si>
  <si>
    <t>,AVG(volunteer_expenses) as avg_volunteer_expenses</t>
  </si>
  <si>
    <t>,AVG(other_adjustments) as avg_other_adjustments</t>
  </si>
  <si>
    <t>,AVG(cash_to_charity) as avg_cash_to_charity</t>
  </si>
  <si>
    <t>,AVG(cash_difference) as avg_cash_difference</t>
  </si>
  <si>
    <t>,AVG(clothing+brica+books+linens+donations+other) as avg_sales_total</t>
  </si>
  <si>
    <t>,AVG(clothing+brica+books+linens+donations+other+rag) as avg_sales_total_inc_rag</t>
  </si>
  <si>
    <t>,AVG(operating_expenses+volunteer_expenses+other_adjustments-cash_difference) as avg_expenses</t>
  </si>
  <si>
    <t>,AVG(clothing+brica+books+linens+donations+other+rag-operating_expenses-volunteer_expenses-other_adjustments+cash_difference) as avg_total_after_expenses</t>
  </si>
  <si>
    <t>,AVG(clothing+brica+books+linens+donations+other+rag-operating_expenses-volunteer_expenses-other_adjustments+cash_difference-donations) as avg_total_after_expenses_and_donations</t>
  </si>
  <si>
    <t>GROUP BY WEEKDAY(date)</t>
  </si>
  <si>
    <t>ORDER BY WEEKDAY(date)</t>
  </si>
  <si>
    <t>ORDER BY t.date</t>
  </si>
  <si>
    <t>SET @S=1, @D=20171001;</t>
  </si>
  <si>
    <t>,AVG(clothing_num+brica_num+books_num+linens_num+donations_num+other_num+rag_num) as avg_transactions_num_total</t>
  </si>
  <si>
    <t>WHERE t.shopid = @S AND t.`date` &gt;= CAST(@D AS DATE)</t>
  </si>
  <si>
    <t>public $id;</t>
  </si>
  <si>
    <t>public $title;</t>
  </si>
  <si>
    <t>public $businessname;</t>
  </si>
  <si>
    <t>public $bankpayerref;</t>
  </si>
  <si>
    <t>public $note;</t>
  </si>
  <si>
    <t>public $addressfirstline;</t>
  </si>
  <si>
    <t>public $addresssecondline;</t>
  </si>
  <si>
    <t>public $city;</t>
  </si>
  <si>
    <t>public $county;</t>
  </si>
  <si>
    <t>public $country;</t>
  </si>
  <si>
    <t>public $email1;</t>
  </si>
  <si>
    <t>public $phone1;</t>
  </si>
  <si>
    <t>public $addressfirstline2;</t>
  </si>
  <si>
    <t>public $addresssecondline2;</t>
  </si>
  <si>
    <t>public $city2;</t>
  </si>
  <si>
    <t>public $county2;</t>
  </si>
  <si>
    <t>public $country2;</t>
  </si>
  <si>
    <t>public $email2;</t>
  </si>
  <si>
    <t>public $phone2;</t>
  </si>
  <si>
    <t>public $statusID;</t>
  </si>
  <si>
    <t>public $expirydate;</t>
  </si>
  <si>
    <t>public $joindate;</t>
  </si>
  <si>
    <t>public $updatedate;</t>
  </si>
  <si>
    <t>public $deletedate;</t>
  </si>
  <si>
    <t>public $repeatpayment;</t>
  </si>
  <si>
    <t>public $recurringpayment;</t>
  </si>
  <si>
    <t>public $username;</t>
  </si>
  <si>
    <t>public $gdpr_email;</t>
  </si>
  <si>
    <t>public $gdpr_tel;</t>
  </si>
  <si>
    <t>public $gdpr_address;</t>
  </si>
  <si>
    <t>public $gdpr_sm;</t>
  </si>
  <si>
    <t>public $postcode;</t>
  </si>
  <si>
    <t>public $postcode2;</t>
  </si>
  <si>
    <t>public $area;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</si>
</sst>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"/>
  <sheetViews>
    <sheetView tabSelected="1" workbookViewId="0">
      <selection activeCell="A12" sqref="A12"/>
    </sheetView>
  </sheetViews>
  <sheetFormatPr defaultRowHeight="15" x14ac:dyDescent="0.25"/>
  <cols>
    <col min="1" max="1" width="28.28515625" bestFit="1" customWidth="1"/>
  </cols>
  <sheetData>
    <row r="1" spans="1:22" x14ac:dyDescent="0.25">
      <c r="A1" t="s">
        <v>68</v>
      </c>
      <c r="B1">
        <f>FIND(" ",A1)</f>
        <v>7</v>
      </c>
      <c r="C1" t="str">
        <f>MID(A1,B1+2,LEN(A1)-2-B1)</f>
        <v>id</v>
      </c>
      <c r="D1" t="str">
        <f>C1&amp;"=:"&amp;C1&amp;", "</f>
        <v xml:space="preserve">id=:id, </v>
      </c>
      <c r="F1" t="str">
        <f>"$this-&gt;"&amp;C1&amp;"=htmlspecialchars(strip_tags($this-&gt;"&amp;C1&amp;"));"</f>
        <v>$this-&gt;id=htmlspecialchars(strip_tags($this-&gt;id));</v>
      </c>
      <c r="L1" t="str">
        <f>"$stmt-&gt;bindParam("":"&amp;C1&amp;""", $this-&gt;"&amp;C1&amp;");"</f>
        <v>$stmt-&gt;bindParam(":id", $this-&gt;id);</v>
      </c>
      <c r="S1" t="str">
        <f>"$scope."&amp;C1&amp;" = """";"</f>
        <v>$scope.id = "";</v>
      </c>
      <c r="U1" t="str">
        <f>PROPER(C1)</f>
        <v>Id</v>
      </c>
      <c r="V1" t="str">
        <f>"&lt;md-input-container class=""md-block""&gt;&lt;label&gt;"&amp;U1&amp;"&lt;/label&gt;&lt;input ng-model="""&amp;C1&amp;"""&gt;&lt;/md-input-container&gt;"</f>
        <v>&lt;md-input-container class="md-block"&gt;&lt;label&gt;Id&lt;/label&gt;&lt;input ng-model="id"&gt;&lt;/md-input-container&gt;</v>
      </c>
    </row>
    <row r="2" spans="1:22" x14ac:dyDescent="0.25">
      <c r="A2" t="s">
        <v>69</v>
      </c>
      <c r="B2">
        <f t="shared" ref="B2:B30" si="0">FIND(" ",A2)</f>
        <v>7</v>
      </c>
      <c r="C2" t="str">
        <f t="shared" ref="C2:C30" si="1">MID(A2,B2+2,LEN(A2)-2-B2)</f>
        <v>title</v>
      </c>
      <c r="D2" t="str">
        <f t="shared" ref="D2:D30" si="2">C2&amp;"=:"&amp;C2&amp;", "</f>
        <v xml:space="preserve">title=:title, </v>
      </c>
      <c r="F2" t="str">
        <f t="shared" ref="F2:F30" si="3">"$this-&gt;"&amp;C2&amp;"=htmlspecialchars(strip_tags($this-&gt;"&amp;C2&amp;"));"</f>
        <v>$this-&gt;title=htmlspecialchars(strip_tags($this-&gt;title));</v>
      </c>
      <c r="L2" t="str">
        <f t="shared" ref="L2:L30" si="4">"$stmt-&gt;bindParam("":"&amp;C2&amp;""", $this-&gt;"&amp;C2&amp;");"</f>
        <v>$stmt-&gt;bindParam(":title", $this-&gt;title);</v>
      </c>
      <c r="S2" t="str">
        <f t="shared" ref="S2:S30" si="5">"$scope."&amp;C2&amp;" = """";"</f>
        <v>$scope.title = "";</v>
      </c>
      <c r="U2" t="str">
        <f t="shared" ref="U2:U30" si="6">PROPER(C2)</f>
        <v>Title</v>
      </c>
      <c r="V2" t="str">
        <f t="shared" ref="V2:V30" si="7">"&lt;md-input-container class=""md-block""&gt;&lt;label&gt;"&amp;U2&amp;"&lt;/label&gt;&lt;input ng-model="""&amp;C2&amp;"""&gt;&lt;/md-input-container&gt;"</f>
        <v>&lt;md-input-container class="md-block"&gt;&lt;label&gt;Title&lt;/label&gt;&lt;input ng-model="title"&gt;&lt;/md-input-container&gt;</v>
      </c>
    </row>
    <row r="3" spans="1:22" x14ac:dyDescent="0.25">
      <c r="A3" t="s">
        <v>70</v>
      </c>
      <c r="B3">
        <f t="shared" si="0"/>
        <v>7</v>
      </c>
      <c r="C3" t="str">
        <f t="shared" si="1"/>
        <v>businessname</v>
      </c>
      <c r="D3" t="str">
        <f t="shared" si="2"/>
        <v xml:space="preserve">businessname=:businessname, </v>
      </c>
      <c r="F3" t="str">
        <f t="shared" si="3"/>
        <v>$this-&gt;businessname=htmlspecialchars(strip_tags($this-&gt;businessname));</v>
      </c>
      <c r="L3" t="str">
        <f t="shared" si="4"/>
        <v>$stmt-&gt;bindParam(":businessname", $this-&gt;businessname);</v>
      </c>
      <c r="S3" t="str">
        <f t="shared" si="5"/>
        <v>$scope.businessname = "";</v>
      </c>
      <c r="U3" t="str">
        <f t="shared" si="6"/>
        <v>Businessname</v>
      </c>
      <c r="V3" t="str">
        <f t="shared" si="7"/>
        <v>&lt;md-input-container class="md-block"&gt;&lt;label&gt;Businessname&lt;/label&gt;&lt;input ng-model="businessname"&gt;&lt;/md-input-container&gt;</v>
      </c>
    </row>
    <row r="4" spans="1:22" x14ac:dyDescent="0.25">
      <c r="A4" t="s">
        <v>71</v>
      </c>
      <c r="B4">
        <f t="shared" si="0"/>
        <v>7</v>
      </c>
      <c r="C4" t="str">
        <f t="shared" si="1"/>
        <v>bankpayerref</v>
      </c>
      <c r="D4" t="str">
        <f t="shared" si="2"/>
        <v xml:space="preserve">bankpayerref=:bankpayerref, </v>
      </c>
      <c r="F4" t="str">
        <f t="shared" si="3"/>
        <v>$this-&gt;bankpayerref=htmlspecialchars(strip_tags($this-&gt;bankpayerref));</v>
      </c>
      <c r="L4" t="str">
        <f t="shared" si="4"/>
        <v>$stmt-&gt;bindParam(":bankpayerref", $this-&gt;bankpayerref);</v>
      </c>
      <c r="S4" t="str">
        <f t="shared" si="5"/>
        <v>$scope.bankpayerref = "";</v>
      </c>
      <c r="U4" t="str">
        <f t="shared" si="6"/>
        <v>Bankpayerref</v>
      </c>
      <c r="V4" t="str">
        <f t="shared" si="7"/>
        <v>&lt;md-input-container class="md-block"&gt;&lt;label&gt;Bankpayerref&lt;/label&gt;&lt;input ng-model="bankpayerref"&gt;&lt;/md-input-container&gt;</v>
      </c>
    </row>
    <row r="5" spans="1:22" x14ac:dyDescent="0.25">
      <c r="A5" t="s">
        <v>72</v>
      </c>
      <c r="B5">
        <f t="shared" si="0"/>
        <v>7</v>
      </c>
      <c r="C5" t="str">
        <f t="shared" si="1"/>
        <v>note</v>
      </c>
      <c r="D5" t="str">
        <f t="shared" si="2"/>
        <v xml:space="preserve">note=:note, </v>
      </c>
      <c r="F5" t="str">
        <f t="shared" si="3"/>
        <v>$this-&gt;note=htmlspecialchars(strip_tags($this-&gt;note));</v>
      </c>
      <c r="L5" t="str">
        <f t="shared" si="4"/>
        <v>$stmt-&gt;bindParam(":note", $this-&gt;note);</v>
      </c>
      <c r="S5" t="str">
        <f t="shared" si="5"/>
        <v>$scope.note = "";</v>
      </c>
      <c r="U5" t="str">
        <f t="shared" si="6"/>
        <v>Note</v>
      </c>
      <c r="V5" t="str">
        <f t="shared" si="7"/>
        <v>&lt;md-input-container class="md-block"&gt;&lt;label&gt;Note&lt;/label&gt;&lt;input ng-model="note"&gt;&lt;/md-input-container&gt;</v>
      </c>
    </row>
    <row r="6" spans="1:22" x14ac:dyDescent="0.25">
      <c r="A6" t="s">
        <v>73</v>
      </c>
      <c r="B6">
        <f t="shared" si="0"/>
        <v>7</v>
      </c>
      <c r="C6" t="str">
        <f t="shared" si="1"/>
        <v>addressfirstline</v>
      </c>
      <c r="D6" t="str">
        <f t="shared" si="2"/>
        <v xml:space="preserve">addressfirstline=:addressfirstline, </v>
      </c>
      <c r="F6" t="str">
        <f t="shared" si="3"/>
        <v>$this-&gt;addressfirstline=htmlspecialchars(strip_tags($this-&gt;addressfirstline));</v>
      </c>
      <c r="L6" t="str">
        <f t="shared" si="4"/>
        <v>$stmt-&gt;bindParam(":addressfirstline", $this-&gt;addressfirstline);</v>
      </c>
      <c r="S6" t="str">
        <f t="shared" si="5"/>
        <v>$scope.addressfirstline = "";</v>
      </c>
      <c r="U6" t="str">
        <f t="shared" si="6"/>
        <v>Addressfirstline</v>
      </c>
      <c r="V6" t="str">
        <f t="shared" si="7"/>
        <v>&lt;md-input-container class="md-block"&gt;&lt;label&gt;Addressfirstline&lt;/label&gt;&lt;input ng-model="addressfirstline"&gt;&lt;/md-input-container&gt;</v>
      </c>
    </row>
    <row r="7" spans="1:22" x14ac:dyDescent="0.25">
      <c r="A7" t="s">
        <v>74</v>
      </c>
      <c r="B7">
        <f t="shared" si="0"/>
        <v>7</v>
      </c>
      <c r="C7" t="str">
        <f t="shared" si="1"/>
        <v>addresssecondline</v>
      </c>
      <c r="D7" t="str">
        <f t="shared" si="2"/>
        <v xml:space="preserve">addresssecondline=:addresssecondline, </v>
      </c>
      <c r="F7" t="str">
        <f t="shared" si="3"/>
        <v>$this-&gt;addresssecondline=htmlspecialchars(strip_tags($this-&gt;addresssecondline));</v>
      </c>
      <c r="L7" t="str">
        <f t="shared" si="4"/>
        <v>$stmt-&gt;bindParam(":addresssecondline", $this-&gt;addresssecondline);</v>
      </c>
      <c r="S7" t="str">
        <f t="shared" si="5"/>
        <v>$scope.addresssecondline = "";</v>
      </c>
      <c r="U7" t="str">
        <f t="shared" si="6"/>
        <v>Addresssecondline</v>
      </c>
      <c r="V7" t="str">
        <f t="shared" si="7"/>
        <v>&lt;md-input-container class="md-block"&gt;&lt;label&gt;Addresssecondline&lt;/label&gt;&lt;input ng-model="addresssecondline"&gt;&lt;/md-input-container&gt;</v>
      </c>
    </row>
    <row r="8" spans="1:22" x14ac:dyDescent="0.25">
      <c r="A8" t="s">
        <v>75</v>
      </c>
      <c r="B8">
        <f t="shared" si="0"/>
        <v>7</v>
      </c>
      <c r="C8" t="str">
        <f t="shared" si="1"/>
        <v>city</v>
      </c>
      <c r="D8" t="str">
        <f t="shared" si="2"/>
        <v xml:space="preserve">city=:city, </v>
      </c>
      <c r="F8" t="str">
        <f t="shared" si="3"/>
        <v>$this-&gt;city=htmlspecialchars(strip_tags($this-&gt;city));</v>
      </c>
      <c r="L8" t="str">
        <f t="shared" si="4"/>
        <v>$stmt-&gt;bindParam(":city", $this-&gt;city);</v>
      </c>
      <c r="S8" t="str">
        <f t="shared" si="5"/>
        <v>$scope.city = "";</v>
      </c>
      <c r="U8" t="str">
        <f t="shared" si="6"/>
        <v>City</v>
      </c>
      <c r="V8" t="str">
        <f t="shared" si="7"/>
        <v>&lt;md-input-container class="md-block"&gt;&lt;label&gt;City&lt;/label&gt;&lt;input ng-model="city"&gt;&lt;/md-input-container&gt;</v>
      </c>
    </row>
    <row r="9" spans="1:22" x14ac:dyDescent="0.25">
      <c r="A9" t="s">
        <v>76</v>
      </c>
      <c r="B9">
        <f t="shared" si="0"/>
        <v>7</v>
      </c>
      <c r="C9" t="str">
        <f t="shared" si="1"/>
        <v>county</v>
      </c>
      <c r="D9" t="str">
        <f t="shared" si="2"/>
        <v xml:space="preserve">county=:county, </v>
      </c>
      <c r="F9" t="str">
        <f t="shared" si="3"/>
        <v>$this-&gt;county=htmlspecialchars(strip_tags($this-&gt;county));</v>
      </c>
      <c r="L9" t="str">
        <f t="shared" si="4"/>
        <v>$stmt-&gt;bindParam(":county", $this-&gt;county);</v>
      </c>
      <c r="S9" t="str">
        <f t="shared" si="5"/>
        <v>$scope.county = "";</v>
      </c>
      <c r="U9" t="str">
        <f t="shared" si="6"/>
        <v>County</v>
      </c>
      <c r="V9" t="str">
        <f t="shared" si="7"/>
        <v>&lt;md-input-container class="md-block"&gt;&lt;label&gt;County&lt;/label&gt;&lt;input ng-model="county"&gt;&lt;/md-input-container&gt;</v>
      </c>
    </row>
    <row r="10" spans="1:22" x14ac:dyDescent="0.25">
      <c r="A10" t="s">
        <v>99</v>
      </c>
      <c r="B10">
        <f t="shared" ref="B10" si="8">FIND(" ",A10)</f>
        <v>7</v>
      </c>
      <c r="C10" t="str">
        <f t="shared" ref="C10" si="9">MID(A10,B10+2,LEN(A10)-2-B10)</f>
        <v>postcode</v>
      </c>
      <c r="D10" t="str">
        <f t="shared" ref="D10" si="10">C10&amp;"=:"&amp;C10&amp;", "</f>
        <v xml:space="preserve">postcode=:postcode, </v>
      </c>
      <c r="F10" t="str">
        <f t="shared" ref="F10" si="11">"$this-&gt;"&amp;C10&amp;"=htmlspecialchars(strip_tags($this-&gt;"&amp;C10&amp;"));"</f>
        <v>$this-&gt;postcode=htmlspecialchars(strip_tags($this-&gt;postcode));</v>
      </c>
      <c r="L10" t="str">
        <f t="shared" ref="L10" si="12">"$stmt-&gt;bindParam("":"&amp;C10&amp;""", $this-&gt;"&amp;C10&amp;");"</f>
        <v>$stmt-&gt;bindParam(":postcode", $this-&gt;postcode);</v>
      </c>
      <c r="S10" t="str">
        <f t="shared" ref="S10" si="13">"$scope."&amp;C10&amp;" = """";"</f>
        <v>$scope.postcode = "";</v>
      </c>
      <c r="U10" t="str">
        <f t="shared" ref="U10" si="14">PROPER(C10)</f>
        <v>Postcode</v>
      </c>
      <c r="V10" t="str">
        <f t="shared" ref="V10" si="15">"&lt;md-input-container class=""md-block""&gt;&lt;label&gt;"&amp;U10&amp;"&lt;/label&gt;&lt;input ng-model="""&amp;C10&amp;"""&gt;&lt;/md-input-container&gt;"</f>
        <v>&lt;md-input-container class="md-block"&gt;&lt;label&gt;Postcode&lt;/label&gt;&lt;input ng-model="postcode"&gt;&lt;/md-input-container&gt;</v>
      </c>
    </row>
    <row r="11" spans="1:22" x14ac:dyDescent="0.25">
      <c r="A11" t="s">
        <v>77</v>
      </c>
      <c r="B11">
        <f t="shared" si="0"/>
        <v>7</v>
      </c>
      <c r="C11" t="str">
        <f t="shared" si="1"/>
        <v>country</v>
      </c>
      <c r="D11" t="str">
        <f t="shared" si="2"/>
        <v xml:space="preserve">country=:country, </v>
      </c>
      <c r="F11" t="str">
        <f t="shared" si="3"/>
        <v>$this-&gt;country=htmlspecialchars(strip_tags($this-&gt;country));</v>
      </c>
      <c r="L11" t="str">
        <f t="shared" si="4"/>
        <v>$stmt-&gt;bindParam(":country", $this-&gt;country);</v>
      </c>
      <c r="S11" t="str">
        <f t="shared" si="5"/>
        <v>$scope.country = "";</v>
      </c>
      <c r="U11" t="str">
        <f t="shared" si="6"/>
        <v>Country</v>
      </c>
      <c r="V11" t="str">
        <f t="shared" si="7"/>
        <v>&lt;md-input-container class="md-block"&gt;&lt;label&gt;Country&lt;/label&gt;&lt;input ng-model="country"&gt;&lt;/md-input-container&gt;</v>
      </c>
    </row>
    <row r="12" spans="1:22" x14ac:dyDescent="0.25">
      <c r="A12" t="s">
        <v>101</v>
      </c>
      <c r="B12">
        <f t="shared" ref="B12" si="16">FIND(" ",A12)</f>
        <v>7</v>
      </c>
      <c r="C12" t="str">
        <f t="shared" ref="C12" si="17">MID(A12,B12+2,LEN(A12)-2-B12)</f>
        <v>area</v>
      </c>
      <c r="D12" t="str">
        <f t="shared" ref="D12" si="18">C12&amp;"=:"&amp;C12&amp;", "</f>
        <v xml:space="preserve">area=:area, </v>
      </c>
      <c r="F12" t="str">
        <f t="shared" ref="F12" si="19">"$this-&gt;"&amp;C12&amp;"=htmlspecialchars(strip_tags($this-&gt;"&amp;C12&amp;"));"</f>
        <v>$this-&gt;area=htmlspecialchars(strip_tags($this-&gt;area));</v>
      </c>
      <c r="L12" t="str">
        <f t="shared" ref="L12" si="20">"$stmt-&gt;bindParam("":"&amp;C12&amp;""", $this-&gt;"&amp;C12&amp;");"</f>
        <v>$stmt-&gt;bindParam(":area", $this-&gt;area);</v>
      </c>
      <c r="S12" t="str">
        <f t="shared" ref="S12" si="21">"$scope."&amp;C12&amp;" = """";"</f>
        <v>$scope.area = "";</v>
      </c>
      <c r="U12" t="str">
        <f t="shared" ref="U12" si="22">PROPER(C12)</f>
        <v>Area</v>
      </c>
      <c r="V12" t="str">
        <f t="shared" ref="V12" si="23">"&lt;md-input-container class=""md-block""&gt;&lt;label&gt;"&amp;U12&amp;"&lt;/label&gt;&lt;input ng-model="""&amp;C12&amp;"""&gt;&lt;/md-input-container&gt;"</f>
        <v>&lt;md-input-container class="md-block"&gt;&lt;label&gt;Area&lt;/label&gt;&lt;input ng-model="area"&gt;&lt;/md-input-container&gt;</v>
      </c>
    </row>
    <row r="13" spans="1:22" x14ac:dyDescent="0.25">
      <c r="A13" t="s">
        <v>78</v>
      </c>
      <c r="B13">
        <f t="shared" si="0"/>
        <v>7</v>
      </c>
      <c r="C13" t="str">
        <f t="shared" si="1"/>
        <v>email1</v>
      </c>
      <c r="D13" t="str">
        <f t="shared" si="2"/>
        <v xml:space="preserve">email1=:email1, </v>
      </c>
      <c r="F13" t="str">
        <f t="shared" si="3"/>
        <v>$this-&gt;email1=htmlspecialchars(strip_tags($this-&gt;email1));</v>
      </c>
      <c r="L13" t="str">
        <f t="shared" si="4"/>
        <v>$stmt-&gt;bindParam(":email1", $this-&gt;email1);</v>
      </c>
      <c r="S13" t="str">
        <f t="shared" si="5"/>
        <v>$scope.email1 = "";</v>
      </c>
      <c r="U13" t="str">
        <f t="shared" si="6"/>
        <v>Email1</v>
      </c>
      <c r="V13" t="str">
        <f t="shared" si="7"/>
        <v>&lt;md-input-container class="md-block"&gt;&lt;label&gt;Email1&lt;/label&gt;&lt;input ng-model="email1"&gt;&lt;/md-input-container&gt;</v>
      </c>
    </row>
    <row r="14" spans="1:22" x14ac:dyDescent="0.25">
      <c r="A14" t="s">
        <v>79</v>
      </c>
      <c r="B14">
        <f t="shared" si="0"/>
        <v>7</v>
      </c>
      <c r="C14" t="str">
        <f t="shared" si="1"/>
        <v>phone1</v>
      </c>
      <c r="D14" t="str">
        <f t="shared" si="2"/>
        <v xml:space="preserve">phone1=:phone1, </v>
      </c>
      <c r="F14" t="str">
        <f t="shared" si="3"/>
        <v>$this-&gt;phone1=htmlspecialchars(strip_tags($this-&gt;phone1));</v>
      </c>
      <c r="L14" t="str">
        <f t="shared" si="4"/>
        <v>$stmt-&gt;bindParam(":phone1", $this-&gt;phone1);</v>
      </c>
      <c r="S14" t="str">
        <f t="shared" si="5"/>
        <v>$scope.phone1 = "";</v>
      </c>
      <c r="U14" t="str">
        <f t="shared" si="6"/>
        <v>Phone1</v>
      </c>
      <c r="V14" t="str">
        <f t="shared" si="7"/>
        <v>&lt;md-input-container class="md-block"&gt;&lt;label&gt;Phone1&lt;/label&gt;&lt;input ng-model="phone1"&gt;&lt;/md-input-container&gt;</v>
      </c>
    </row>
    <row r="15" spans="1:22" x14ac:dyDescent="0.25">
      <c r="A15" t="s">
        <v>80</v>
      </c>
      <c r="B15">
        <f t="shared" si="0"/>
        <v>7</v>
      </c>
      <c r="C15" t="str">
        <f t="shared" si="1"/>
        <v>addressfirstline2</v>
      </c>
      <c r="D15" t="str">
        <f t="shared" si="2"/>
        <v xml:space="preserve">addressfirstline2=:addressfirstline2, </v>
      </c>
      <c r="F15" t="str">
        <f t="shared" si="3"/>
        <v>$this-&gt;addressfirstline2=htmlspecialchars(strip_tags($this-&gt;addressfirstline2));</v>
      </c>
      <c r="L15" t="str">
        <f t="shared" si="4"/>
        <v>$stmt-&gt;bindParam(":addressfirstline2", $this-&gt;addressfirstline2);</v>
      </c>
      <c r="S15" t="str">
        <f t="shared" si="5"/>
        <v>$scope.addressfirstline2 = "";</v>
      </c>
      <c r="U15" t="str">
        <f t="shared" si="6"/>
        <v>Addressfirstline2</v>
      </c>
      <c r="V15" t="str">
        <f t="shared" si="7"/>
        <v>&lt;md-input-container class="md-block"&gt;&lt;label&gt;Addressfirstline2&lt;/label&gt;&lt;input ng-model="addressfirstline2"&gt;&lt;/md-input-container&gt;</v>
      </c>
    </row>
    <row r="16" spans="1:22" x14ac:dyDescent="0.25">
      <c r="A16" t="s">
        <v>81</v>
      </c>
      <c r="B16">
        <f t="shared" si="0"/>
        <v>7</v>
      </c>
      <c r="C16" t="str">
        <f t="shared" si="1"/>
        <v>addresssecondline2</v>
      </c>
      <c r="D16" t="str">
        <f t="shared" si="2"/>
        <v xml:space="preserve">addresssecondline2=:addresssecondline2, </v>
      </c>
      <c r="F16" t="str">
        <f t="shared" si="3"/>
        <v>$this-&gt;addresssecondline2=htmlspecialchars(strip_tags($this-&gt;addresssecondline2));</v>
      </c>
      <c r="L16" t="str">
        <f t="shared" si="4"/>
        <v>$stmt-&gt;bindParam(":addresssecondline2", $this-&gt;addresssecondline2);</v>
      </c>
      <c r="S16" t="str">
        <f t="shared" si="5"/>
        <v>$scope.addresssecondline2 = "";</v>
      </c>
      <c r="U16" t="str">
        <f t="shared" si="6"/>
        <v>Addresssecondline2</v>
      </c>
      <c r="V16" t="str">
        <f t="shared" si="7"/>
        <v>&lt;md-input-container class="md-block"&gt;&lt;label&gt;Addresssecondline2&lt;/label&gt;&lt;input ng-model="addresssecondline2"&gt;&lt;/md-input-container&gt;</v>
      </c>
    </row>
    <row r="17" spans="1:22" x14ac:dyDescent="0.25">
      <c r="A17" t="s">
        <v>82</v>
      </c>
      <c r="B17">
        <f t="shared" si="0"/>
        <v>7</v>
      </c>
      <c r="C17" t="str">
        <f t="shared" si="1"/>
        <v>city2</v>
      </c>
      <c r="D17" t="str">
        <f t="shared" si="2"/>
        <v xml:space="preserve">city2=:city2, </v>
      </c>
      <c r="F17" t="str">
        <f t="shared" si="3"/>
        <v>$this-&gt;city2=htmlspecialchars(strip_tags($this-&gt;city2));</v>
      </c>
      <c r="L17" t="str">
        <f t="shared" si="4"/>
        <v>$stmt-&gt;bindParam(":city2", $this-&gt;city2);</v>
      </c>
      <c r="S17" t="str">
        <f t="shared" si="5"/>
        <v>$scope.city2 = "";</v>
      </c>
      <c r="U17" t="str">
        <f t="shared" si="6"/>
        <v>City2</v>
      </c>
      <c r="V17" t="str">
        <f t="shared" si="7"/>
        <v>&lt;md-input-container class="md-block"&gt;&lt;label&gt;City2&lt;/label&gt;&lt;input ng-model="city2"&gt;&lt;/md-input-container&gt;</v>
      </c>
    </row>
    <row r="18" spans="1:22" x14ac:dyDescent="0.25">
      <c r="A18" t="s">
        <v>83</v>
      </c>
      <c r="B18">
        <f t="shared" si="0"/>
        <v>7</v>
      </c>
      <c r="C18" t="str">
        <f t="shared" si="1"/>
        <v>county2</v>
      </c>
      <c r="D18" t="str">
        <f t="shared" si="2"/>
        <v xml:space="preserve">county2=:county2, </v>
      </c>
      <c r="F18" t="str">
        <f t="shared" si="3"/>
        <v>$this-&gt;county2=htmlspecialchars(strip_tags($this-&gt;county2));</v>
      </c>
      <c r="L18" t="str">
        <f t="shared" si="4"/>
        <v>$stmt-&gt;bindParam(":county2", $this-&gt;county2);</v>
      </c>
      <c r="S18" t="str">
        <f t="shared" si="5"/>
        <v>$scope.county2 = "";</v>
      </c>
      <c r="U18" t="str">
        <f t="shared" si="6"/>
        <v>County2</v>
      </c>
      <c r="V18" t="str">
        <f t="shared" si="7"/>
        <v>&lt;md-input-container class="md-block"&gt;&lt;label&gt;County2&lt;/label&gt;&lt;input ng-model="county2"&gt;&lt;/md-input-container&gt;</v>
      </c>
    </row>
    <row r="19" spans="1:22" x14ac:dyDescent="0.25">
      <c r="A19" t="s">
        <v>100</v>
      </c>
      <c r="B19">
        <f t="shared" ref="B19" si="24">FIND(" ",A19)</f>
        <v>7</v>
      </c>
      <c r="C19" t="str">
        <f t="shared" ref="C19" si="25">MID(A19,B19+2,LEN(A19)-2-B19)</f>
        <v>postcode2</v>
      </c>
      <c r="D19" t="str">
        <f t="shared" ref="D19" si="26">C19&amp;"=:"&amp;C19&amp;", "</f>
        <v xml:space="preserve">postcode2=:postcode2, </v>
      </c>
      <c r="F19" t="str">
        <f t="shared" ref="F19" si="27">"$this-&gt;"&amp;C19&amp;"=htmlspecialchars(strip_tags($this-&gt;"&amp;C19&amp;"));"</f>
        <v>$this-&gt;postcode2=htmlspecialchars(strip_tags($this-&gt;postcode2));</v>
      </c>
      <c r="L19" t="str">
        <f t="shared" ref="L19" si="28">"$stmt-&gt;bindParam("":"&amp;C19&amp;""", $this-&gt;"&amp;C19&amp;");"</f>
        <v>$stmt-&gt;bindParam(":postcode2", $this-&gt;postcode2);</v>
      </c>
      <c r="S19" t="str">
        <f t="shared" ref="S19" si="29">"$scope."&amp;C19&amp;" = """";"</f>
        <v>$scope.postcode2 = "";</v>
      </c>
      <c r="U19" t="str">
        <f t="shared" ref="U19" si="30">PROPER(C19)</f>
        <v>Postcode2</v>
      </c>
      <c r="V19" t="str">
        <f t="shared" ref="V19" si="31">"&lt;md-input-container class=""md-block""&gt;&lt;label&gt;"&amp;U19&amp;"&lt;/label&gt;&lt;input ng-model="""&amp;C19&amp;"""&gt;&lt;/md-input-container&gt;"</f>
        <v>&lt;md-input-container class="md-block"&gt;&lt;label&gt;Postcode2&lt;/label&gt;&lt;input ng-model="postcode2"&gt;&lt;/md-input-container&gt;</v>
      </c>
    </row>
    <row r="20" spans="1:22" x14ac:dyDescent="0.25">
      <c r="A20" t="s">
        <v>84</v>
      </c>
      <c r="B20">
        <f t="shared" si="0"/>
        <v>7</v>
      </c>
      <c r="C20" t="str">
        <f t="shared" si="1"/>
        <v>country2</v>
      </c>
      <c r="D20" t="str">
        <f t="shared" si="2"/>
        <v xml:space="preserve">country2=:country2, </v>
      </c>
      <c r="F20" t="str">
        <f t="shared" si="3"/>
        <v>$this-&gt;country2=htmlspecialchars(strip_tags($this-&gt;country2));</v>
      </c>
      <c r="L20" t="str">
        <f t="shared" si="4"/>
        <v>$stmt-&gt;bindParam(":country2", $this-&gt;country2);</v>
      </c>
      <c r="S20" t="str">
        <f t="shared" si="5"/>
        <v>$scope.country2 = "";</v>
      </c>
      <c r="U20" t="str">
        <f t="shared" si="6"/>
        <v>Country2</v>
      </c>
      <c r="V20" t="str">
        <f t="shared" si="7"/>
        <v>&lt;md-input-container class="md-block"&gt;&lt;label&gt;Country2&lt;/label&gt;&lt;input ng-model="country2"&gt;&lt;/md-input-container&gt;</v>
      </c>
    </row>
    <row r="21" spans="1:22" x14ac:dyDescent="0.25">
      <c r="A21" t="s">
        <v>85</v>
      </c>
      <c r="B21">
        <f t="shared" si="0"/>
        <v>7</v>
      </c>
      <c r="C21" t="str">
        <f t="shared" si="1"/>
        <v>email2</v>
      </c>
      <c r="D21" t="str">
        <f t="shared" si="2"/>
        <v xml:space="preserve">email2=:email2, </v>
      </c>
      <c r="F21" t="str">
        <f t="shared" si="3"/>
        <v>$this-&gt;email2=htmlspecialchars(strip_tags($this-&gt;email2));</v>
      </c>
      <c r="L21" t="str">
        <f t="shared" si="4"/>
        <v>$stmt-&gt;bindParam(":email2", $this-&gt;email2);</v>
      </c>
      <c r="S21" t="str">
        <f t="shared" si="5"/>
        <v>$scope.email2 = "";</v>
      </c>
      <c r="U21" t="str">
        <f t="shared" si="6"/>
        <v>Email2</v>
      </c>
      <c r="V21" t="str">
        <f t="shared" si="7"/>
        <v>&lt;md-input-container class="md-block"&gt;&lt;label&gt;Email2&lt;/label&gt;&lt;input ng-model="email2"&gt;&lt;/md-input-container&gt;</v>
      </c>
    </row>
    <row r="22" spans="1:22" x14ac:dyDescent="0.25">
      <c r="A22" t="s">
        <v>86</v>
      </c>
      <c r="B22">
        <f t="shared" si="0"/>
        <v>7</v>
      </c>
      <c r="C22" t="str">
        <f t="shared" si="1"/>
        <v>phone2</v>
      </c>
      <c r="D22" t="str">
        <f t="shared" si="2"/>
        <v xml:space="preserve">phone2=:phone2, </v>
      </c>
      <c r="F22" t="str">
        <f t="shared" si="3"/>
        <v>$this-&gt;phone2=htmlspecialchars(strip_tags($this-&gt;phone2));</v>
      </c>
      <c r="L22" t="str">
        <f t="shared" si="4"/>
        <v>$stmt-&gt;bindParam(":phone2", $this-&gt;phone2);</v>
      </c>
      <c r="S22" t="str">
        <f t="shared" si="5"/>
        <v>$scope.phone2 = "";</v>
      </c>
      <c r="U22" t="str">
        <f t="shared" si="6"/>
        <v>Phone2</v>
      </c>
      <c r="V22" t="str">
        <f t="shared" si="7"/>
        <v>&lt;md-input-container class="md-block"&gt;&lt;label&gt;Phone2&lt;/label&gt;&lt;input ng-model="phone2"&gt;&lt;/md-input-container&gt;</v>
      </c>
    </row>
    <row r="23" spans="1:22" x14ac:dyDescent="0.25">
      <c r="A23" t="s">
        <v>87</v>
      </c>
      <c r="B23">
        <f t="shared" si="0"/>
        <v>7</v>
      </c>
      <c r="C23" t="str">
        <f t="shared" si="1"/>
        <v>statusID</v>
      </c>
      <c r="D23" t="str">
        <f t="shared" si="2"/>
        <v xml:space="preserve">statusID=:statusID, </v>
      </c>
      <c r="F23" t="str">
        <f t="shared" si="3"/>
        <v>$this-&gt;statusID=htmlspecialchars(strip_tags($this-&gt;statusID));</v>
      </c>
      <c r="L23" t="str">
        <f t="shared" si="4"/>
        <v>$stmt-&gt;bindParam(":statusID", $this-&gt;statusID);</v>
      </c>
      <c r="S23" t="str">
        <f t="shared" si="5"/>
        <v>$scope.statusID = "";</v>
      </c>
      <c r="U23" t="str">
        <f t="shared" si="6"/>
        <v>Statusid</v>
      </c>
      <c r="V23" t="str">
        <f t="shared" si="7"/>
        <v>&lt;md-input-container class="md-block"&gt;&lt;label&gt;Statusid&lt;/label&gt;&lt;input ng-model="statusID"&gt;&lt;/md-input-container&gt;</v>
      </c>
    </row>
    <row r="24" spans="1:22" x14ac:dyDescent="0.25">
      <c r="A24" t="s">
        <v>88</v>
      </c>
      <c r="B24">
        <f t="shared" si="0"/>
        <v>7</v>
      </c>
      <c r="C24" t="str">
        <f t="shared" si="1"/>
        <v>expirydate</v>
      </c>
      <c r="D24" t="str">
        <f t="shared" si="2"/>
        <v xml:space="preserve">expirydate=:expirydate, </v>
      </c>
      <c r="F24" t="str">
        <f t="shared" si="3"/>
        <v>$this-&gt;expirydate=htmlspecialchars(strip_tags($this-&gt;expirydate));</v>
      </c>
      <c r="L24" t="str">
        <f t="shared" si="4"/>
        <v>$stmt-&gt;bindParam(":expirydate", $this-&gt;expirydate);</v>
      </c>
      <c r="S24" t="str">
        <f t="shared" si="5"/>
        <v>$scope.expirydate = "";</v>
      </c>
      <c r="U24" t="str">
        <f t="shared" si="6"/>
        <v>Expirydate</v>
      </c>
      <c r="V24" t="str">
        <f t="shared" si="7"/>
        <v>&lt;md-input-container class="md-block"&gt;&lt;label&gt;Expirydate&lt;/label&gt;&lt;input ng-model="expirydate"&gt;&lt;/md-input-container&gt;</v>
      </c>
    </row>
    <row r="25" spans="1:22" x14ac:dyDescent="0.25">
      <c r="A25" t="s">
        <v>89</v>
      </c>
      <c r="B25">
        <f t="shared" si="0"/>
        <v>7</v>
      </c>
      <c r="C25" t="str">
        <f t="shared" si="1"/>
        <v>joindate</v>
      </c>
      <c r="D25" t="str">
        <f t="shared" si="2"/>
        <v xml:space="preserve">joindate=:joindate, </v>
      </c>
      <c r="F25" t="str">
        <f t="shared" si="3"/>
        <v>$this-&gt;joindate=htmlspecialchars(strip_tags($this-&gt;joindate));</v>
      </c>
      <c r="L25" t="str">
        <f t="shared" si="4"/>
        <v>$stmt-&gt;bindParam(":joindate", $this-&gt;joindate);</v>
      </c>
      <c r="S25" t="str">
        <f t="shared" si="5"/>
        <v>$scope.joindate = "";</v>
      </c>
      <c r="U25" t="str">
        <f t="shared" si="6"/>
        <v>Joindate</v>
      </c>
      <c r="V25" t="str">
        <f t="shared" si="7"/>
        <v>&lt;md-input-container class="md-block"&gt;&lt;label&gt;Joindate&lt;/label&gt;&lt;input ng-model="joindate"&gt;&lt;/md-input-container&gt;</v>
      </c>
    </row>
    <row r="26" spans="1:22" x14ac:dyDescent="0.25">
      <c r="A26" t="s">
        <v>90</v>
      </c>
      <c r="B26">
        <f t="shared" si="0"/>
        <v>7</v>
      </c>
      <c r="C26" t="str">
        <f t="shared" si="1"/>
        <v>updatedate</v>
      </c>
      <c r="D26" t="str">
        <f t="shared" si="2"/>
        <v xml:space="preserve">updatedate=:updatedate, </v>
      </c>
      <c r="F26" t="str">
        <f t="shared" si="3"/>
        <v>$this-&gt;updatedate=htmlspecialchars(strip_tags($this-&gt;updatedate));</v>
      </c>
      <c r="L26" t="str">
        <f t="shared" si="4"/>
        <v>$stmt-&gt;bindParam(":updatedate", $this-&gt;updatedate);</v>
      </c>
      <c r="S26" t="str">
        <f t="shared" si="5"/>
        <v>$scope.updatedate = "";</v>
      </c>
      <c r="U26" t="str">
        <f t="shared" si="6"/>
        <v>Updatedate</v>
      </c>
      <c r="V26" t="str">
        <f t="shared" si="7"/>
        <v>&lt;md-input-container class="md-block"&gt;&lt;label&gt;Updatedate&lt;/label&gt;&lt;input ng-model="updatedate"&gt;&lt;/md-input-container&gt;</v>
      </c>
    </row>
    <row r="27" spans="1:22" x14ac:dyDescent="0.25">
      <c r="A27" t="s">
        <v>91</v>
      </c>
      <c r="B27">
        <f t="shared" si="0"/>
        <v>7</v>
      </c>
      <c r="C27" t="str">
        <f t="shared" si="1"/>
        <v>deletedate</v>
      </c>
      <c r="D27" t="str">
        <f t="shared" si="2"/>
        <v xml:space="preserve">deletedate=:deletedate, </v>
      </c>
      <c r="F27" t="str">
        <f t="shared" si="3"/>
        <v>$this-&gt;deletedate=htmlspecialchars(strip_tags($this-&gt;deletedate));</v>
      </c>
      <c r="L27" t="str">
        <f t="shared" si="4"/>
        <v>$stmt-&gt;bindParam(":deletedate", $this-&gt;deletedate);</v>
      </c>
      <c r="S27" t="str">
        <f t="shared" si="5"/>
        <v>$scope.deletedate = "";</v>
      </c>
      <c r="U27" t="str">
        <f t="shared" si="6"/>
        <v>Deletedate</v>
      </c>
      <c r="V27" t="str">
        <f t="shared" si="7"/>
        <v>&lt;md-input-container class="md-block"&gt;&lt;label&gt;Deletedate&lt;/label&gt;&lt;input ng-model="deletedate"&gt;&lt;/md-input-container&gt;</v>
      </c>
    </row>
    <row r="28" spans="1:22" x14ac:dyDescent="0.25">
      <c r="A28" t="s">
        <v>92</v>
      </c>
      <c r="B28">
        <f t="shared" si="0"/>
        <v>7</v>
      </c>
      <c r="C28" t="str">
        <f t="shared" si="1"/>
        <v>repeatpayment</v>
      </c>
      <c r="D28" t="str">
        <f t="shared" si="2"/>
        <v xml:space="preserve">repeatpayment=:repeatpayment, </v>
      </c>
      <c r="F28" t="str">
        <f t="shared" si="3"/>
        <v>$this-&gt;repeatpayment=htmlspecialchars(strip_tags($this-&gt;repeatpayment));</v>
      </c>
      <c r="L28" t="str">
        <f t="shared" si="4"/>
        <v>$stmt-&gt;bindParam(":repeatpayment", $this-&gt;repeatpayment);</v>
      </c>
      <c r="S28" t="str">
        <f t="shared" si="5"/>
        <v>$scope.repeatpayment = "";</v>
      </c>
      <c r="U28" t="str">
        <f t="shared" si="6"/>
        <v>Repeatpayment</v>
      </c>
      <c r="V28" t="str">
        <f t="shared" si="7"/>
        <v>&lt;md-input-container class="md-block"&gt;&lt;label&gt;Repeatpayment&lt;/label&gt;&lt;input ng-model="repeatpayment"&gt;&lt;/md-input-container&gt;</v>
      </c>
    </row>
    <row r="29" spans="1:22" x14ac:dyDescent="0.25">
      <c r="A29" t="s">
        <v>93</v>
      </c>
      <c r="B29">
        <f t="shared" si="0"/>
        <v>7</v>
      </c>
      <c r="C29" t="str">
        <f t="shared" si="1"/>
        <v>recurringpayment</v>
      </c>
      <c r="D29" t="str">
        <f t="shared" si="2"/>
        <v xml:space="preserve">recurringpayment=:recurringpayment, </v>
      </c>
      <c r="F29" t="str">
        <f t="shared" si="3"/>
        <v>$this-&gt;recurringpayment=htmlspecialchars(strip_tags($this-&gt;recurringpayment));</v>
      </c>
      <c r="L29" t="str">
        <f t="shared" si="4"/>
        <v>$stmt-&gt;bindParam(":recurringpayment", $this-&gt;recurringpayment);</v>
      </c>
      <c r="S29" t="str">
        <f t="shared" si="5"/>
        <v>$scope.recurringpayment = "";</v>
      </c>
      <c r="U29" t="str">
        <f t="shared" si="6"/>
        <v>Recurringpayment</v>
      </c>
      <c r="V29" t="str">
        <f t="shared" si="7"/>
        <v>&lt;md-input-container class="md-block"&gt;&lt;label&gt;Recurringpayment&lt;/label&gt;&lt;input ng-model="recurringpayment"&gt;&lt;/md-input-container&gt;</v>
      </c>
    </row>
    <row r="30" spans="1:22" x14ac:dyDescent="0.25">
      <c r="A30" t="s">
        <v>94</v>
      </c>
      <c r="B30">
        <f t="shared" si="0"/>
        <v>7</v>
      </c>
      <c r="C30" t="str">
        <f t="shared" si="1"/>
        <v>username</v>
      </c>
      <c r="D30" t="str">
        <f t="shared" si="2"/>
        <v xml:space="preserve">username=:username, </v>
      </c>
      <c r="F30" t="str">
        <f t="shared" si="3"/>
        <v>$this-&gt;username=htmlspecialchars(strip_tags($this-&gt;username));</v>
      </c>
      <c r="L30" t="str">
        <f t="shared" si="4"/>
        <v>$stmt-&gt;bindParam(":username", $this-&gt;username);</v>
      </c>
      <c r="S30" t="str">
        <f t="shared" si="5"/>
        <v>$scope.username = "";</v>
      </c>
      <c r="U30" t="str">
        <f t="shared" si="6"/>
        <v>Username</v>
      </c>
      <c r="V30" t="str">
        <f t="shared" si="7"/>
        <v>&lt;md-input-container class="md-block"&gt;&lt;label&gt;Username&lt;/label&gt;&lt;input ng-model="username"&gt;&lt;/md-input-container&gt;</v>
      </c>
    </row>
    <row r="31" spans="1:22" x14ac:dyDescent="0.25">
      <c r="A31" t="s">
        <v>95</v>
      </c>
      <c r="B31">
        <f t="shared" ref="B31:B34" si="32">FIND(" ",A31)</f>
        <v>7</v>
      </c>
      <c r="C31" t="str">
        <f t="shared" ref="C31:C34" si="33">MID(A31,B31+2,LEN(A31)-2-B31)</f>
        <v>gdpr_email</v>
      </c>
      <c r="D31" t="str">
        <f t="shared" ref="D31:D34" si="34">C31&amp;"=:"&amp;C31&amp;", "</f>
        <v xml:space="preserve">gdpr_email=:gdpr_email, </v>
      </c>
      <c r="F31" t="str">
        <f t="shared" ref="F31:F34" si="35">"$this-&gt;"&amp;C31&amp;"=htmlspecialchars(strip_tags($this-&gt;"&amp;C31&amp;"));"</f>
        <v>$this-&gt;gdpr_email=htmlspecialchars(strip_tags($this-&gt;gdpr_email));</v>
      </c>
      <c r="L31" t="str">
        <f t="shared" ref="L31:L34" si="36">"$stmt-&gt;bindParam("":"&amp;C31&amp;""", $this-&gt;"&amp;C31&amp;");"</f>
        <v>$stmt-&gt;bindParam(":gdpr_email", $this-&gt;gdpr_email);</v>
      </c>
      <c r="S31" t="str">
        <f t="shared" ref="S31:S34" si="37">"$scope."&amp;C31&amp;" = """";"</f>
        <v>$scope.gdpr_email = "";</v>
      </c>
      <c r="U31" t="str">
        <f t="shared" ref="U31:U34" si="38">PROPER(C31)</f>
        <v>Gdpr_Email</v>
      </c>
      <c r="V31" t="str">
        <f t="shared" ref="V31:V34" si="39">"&lt;md-input-container class=""md-block""&gt;&lt;label&gt;"&amp;U31&amp;"&lt;/label&gt;&lt;input ng-model="""&amp;C31&amp;"""&gt;&lt;/md-input-container&gt;"</f>
        <v>&lt;md-input-container class="md-block"&gt;&lt;label&gt;Gdpr_Email&lt;/label&gt;&lt;input ng-model="gdpr_email"&gt;&lt;/md-input-container&gt;</v>
      </c>
    </row>
    <row r="32" spans="1:22" x14ac:dyDescent="0.25">
      <c r="A32" t="s">
        <v>96</v>
      </c>
      <c r="B32">
        <f t="shared" si="32"/>
        <v>7</v>
      </c>
      <c r="C32" t="str">
        <f t="shared" si="33"/>
        <v>gdpr_tel</v>
      </c>
      <c r="D32" t="str">
        <f t="shared" si="34"/>
        <v xml:space="preserve">gdpr_tel=:gdpr_tel, </v>
      </c>
      <c r="F32" t="str">
        <f t="shared" si="35"/>
        <v>$this-&gt;gdpr_tel=htmlspecialchars(strip_tags($this-&gt;gdpr_tel));</v>
      </c>
      <c r="L32" t="str">
        <f t="shared" si="36"/>
        <v>$stmt-&gt;bindParam(":gdpr_tel", $this-&gt;gdpr_tel);</v>
      </c>
      <c r="S32" t="str">
        <f t="shared" si="37"/>
        <v>$scope.gdpr_tel = "";</v>
      </c>
      <c r="U32" t="str">
        <f t="shared" si="38"/>
        <v>Gdpr_Tel</v>
      </c>
      <c r="V32" t="str">
        <f t="shared" si="39"/>
        <v>&lt;md-input-container class="md-block"&gt;&lt;label&gt;Gdpr_Tel&lt;/label&gt;&lt;input ng-model="gdpr_tel"&gt;&lt;/md-input-container&gt;</v>
      </c>
    </row>
    <row r="33" spans="1:22" x14ac:dyDescent="0.25">
      <c r="A33" t="s">
        <v>97</v>
      </c>
      <c r="B33">
        <f t="shared" si="32"/>
        <v>7</v>
      </c>
      <c r="C33" t="str">
        <f t="shared" si="33"/>
        <v>gdpr_address</v>
      </c>
      <c r="D33" t="str">
        <f t="shared" si="34"/>
        <v xml:space="preserve">gdpr_address=:gdpr_address, </v>
      </c>
      <c r="F33" t="str">
        <f t="shared" si="35"/>
        <v>$this-&gt;gdpr_address=htmlspecialchars(strip_tags($this-&gt;gdpr_address));</v>
      </c>
      <c r="L33" t="str">
        <f t="shared" si="36"/>
        <v>$stmt-&gt;bindParam(":gdpr_address", $this-&gt;gdpr_address);</v>
      </c>
      <c r="S33" t="str">
        <f t="shared" si="37"/>
        <v>$scope.gdpr_address = "";</v>
      </c>
      <c r="U33" t="str">
        <f t="shared" si="38"/>
        <v>Gdpr_Address</v>
      </c>
      <c r="V33" t="str">
        <f t="shared" si="39"/>
        <v>&lt;md-input-container class="md-block"&gt;&lt;label&gt;Gdpr_Address&lt;/label&gt;&lt;input ng-model="gdpr_address"&gt;&lt;/md-input-container&gt;</v>
      </c>
    </row>
    <row r="34" spans="1:22" x14ac:dyDescent="0.25">
      <c r="A34" t="s">
        <v>98</v>
      </c>
      <c r="B34">
        <f t="shared" si="32"/>
        <v>7</v>
      </c>
      <c r="C34" t="str">
        <f t="shared" si="33"/>
        <v>gdpr_sm</v>
      </c>
      <c r="D34" t="str">
        <f t="shared" si="34"/>
        <v xml:space="preserve">gdpr_sm=:gdpr_sm, </v>
      </c>
      <c r="F34" t="str">
        <f t="shared" si="35"/>
        <v>$this-&gt;gdpr_sm=htmlspecialchars(strip_tags($this-&gt;gdpr_sm));</v>
      </c>
      <c r="L34" t="str">
        <f t="shared" si="36"/>
        <v>$stmt-&gt;bindParam(":gdpr_sm", $this-&gt;gdpr_sm);</v>
      </c>
      <c r="S34" t="str">
        <f t="shared" si="37"/>
        <v>$scope.gdpr_sm = "";</v>
      </c>
      <c r="U34" t="str">
        <f t="shared" si="38"/>
        <v>Gdpr_Sm</v>
      </c>
      <c r="V34" t="str">
        <f t="shared" si="39"/>
        <v>&lt;md-input-container class="md-block"&gt;&lt;label&gt;Gdpr_Sm&lt;/label&gt;&lt;input ng-model="gdpr_sm"&gt;&lt;/md-input-container&gt;</v>
      </c>
    </row>
    <row r="41" spans="1:22" x14ac:dyDescent="0.25">
      <c r="B41" t="str">
        <f>C1&amp;" = :"&amp;C1&amp;","</f>
        <v>id = :id,</v>
      </c>
      <c r="D41" t="str">
        <f>""""&amp;C1&amp;""" =&gt; $member-&gt;"&amp;C1&amp;","</f>
        <v>"id" =&gt; $member-&gt;id,</v>
      </c>
      <c r="H41" t="str">
        <f>"$this-&gt;"&amp;C1&amp;" = $row['"&amp;C1&amp;"'];"</f>
        <v>$this-&gt;id = $row['id'];</v>
      </c>
      <c r="L41" t="str">
        <f>"$member-&gt;"&amp;C1&amp;" = $data-&gt;"&amp;C1&amp;";"</f>
        <v>$member-&gt;id = $data-&gt;id;</v>
      </c>
    </row>
    <row r="42" spans="1:22" x14ac:dyDescent="0.25">
      <c r="B42" t="str">
        <f>C2&amp;" = :"&amp;C2&amp;","</f>
        <v>title = :title,</v>
      </c>
      <c r="D42" t="str">
        <f>""""&amp;C2&amp;""" =&gt; $member-&gt;"&amp;C2&amp;","</f>
        <v>"title" =&gt; $member-&gt;title,</v>
      </c>
      <c r="H42" t="str">
        <f>"$this-&gt;"&amp;C2&amp;" = $row['"&amp;C2&amp;"'];"</f>
        <v>$this-&gt;title = $row['title'];</v>
      </c>
      <c r="L42" t="str">
        <f>"$member-&gt;"&amp;C2&amp;" = $data-&gt;"&amp;C2&amp;";"</f>
        <v>$member-&gt;title = $data-&gt;title;</v>
      </c>
    </row>
    <row r="43" spans="1:22" x14ac:dyDescent="0.25">
      <c r="B43" t="str">
        <f>C3&amp;" = :"&amp;C3&amp;","</f>
        <v>businessname = :businessname,</v>
      </c>
      <c r="D43" t="str">
        <f>""""&amp;C3&amp;""" =&gt; $member-&gt;"&amp;C3&amp;","</f>
        <v>"businessname" =&gt; $member-&gt;businessname,</v>
      </c>
      <c r="H43" t="str">
        <f>"$this-&gt;"&amp;C3&amp;" = $row['"&amp;C3&amp;"'];"</f>
        <v>$this-&gt;businessname = $row['businessname'];</v>
      </c>
      <c r="L43" t="str">
        <f>"$member-&gt;"&amp;C3&amp;" = $data-&gt;"&amp;C3&amp;";"</f>
        <v>$member-&gt;businessname = $data-&gt;businessname;</v>
      </c>
    </row>
    <row r="44" spans="1:22" x14ac:dyDescent="0.25">
      <c r="B44" t="str">
        <f>C4&amp;" = :"&amp;C4&amp;","</f>
        <v>bankpayerref = :bankpayerref,</v>
      </c>
      <c r="D44" t="str">
        <f>""""&amp;C4&amp;""" =&gt; $member-&gt;"&amp;C4&amp;","</f>
        <v>"bankpayerref" =&gt; $member-&gt;bankpayerref,</v>
      </c>
      <c r="H44" t="str">
        <f>"$this-&gt;"&amp;C4&amp;" = $row['"&amp;C4&amp;"'];"</f>
        <v>$this-&gt;bankpayerref = $row['bankpayerref'];</v>
      </c>
      <c r="L44" t="str">
        <f>"$member-&gt;"&amp;C4&amp;" = $data-&gt;"&amp;C4&amp;";"</f>
        <v>$member-&gt;bankpayerref = $data-&gt;bankpayerref;</v>
      </c>
      <c r="R44" t="str">
        <f>S44&amp;","</f>
        <v>bankpayerref,</v>
      </c>
      <c r="S44" t="str">
        <f>C4</f>
        <v>bankpayerref</v>
      </c>
      <c r="T44" s="1" t="str">
        <f>",SUM("&amp;S44&amp;") as sum_"&amp;S44</f>
        <v>,SUM(bankpayerref) as sum_bankpayerref</v>
      </c>
      <c r="U44" s="1" t="str">
        <f>",AVG("&amp;S44&amp;") as avg_"&amp;S44</f>
        <v>,AVG(bankpayerref) as avg_bankpayerref</v>
      </c>
    </row>
    <row r="45" spans="1:22" x14ac:dyDescent="0.25">
      <c r="B45" t="str">
        <f>C5&amp;" = :"&amp;C5&amp;","</f>
        <v>note = :note,</v>
      </c>
      <c r="D45" t="str">
        <f>""""&amp;C5&amp;""" =&gt; $member-&gt;"&amp;C5&amp;","</f>
        <v>"note" =&gt; $member-&gt;note,</v>
      </c>
      <c r="H45" t="str">
        <f>"$this-&gt;"&amp;C5&amp;" = $row['"&amp;C5&amp;"'];"</f>
        <v>$this-&gt;note = $row['note'];</v>
      </c>
      <c r="L45" t="str">
        <f>"$member-&gt;"&amp;C5&amp;" = $data-&gt;"&amp;C5&amp;";"</f>
        <v>$member-&gt;note = $data-&gt;note;</v>
      </c>
      <c r="R45" t="str">
        <f t="shared" ref="R45:R68" si="40">S45&amp;","</f>
        <v>note,</v>
      </c>
      <c r="S45" t="str">
        <f>C5</f>
        <v>note</v>
      </c>
      <c r="T45" t="str">
        <f t="shared" ref="T45:T68" si="41">",SUM("&amp;S45&amp;") as sum_"&amp;S45</f>
        <v>,SUM(note) as sum_note</v>
      </c>
      <c r="U45" s="1" t="str">
        <f t="shared" ref="U45:U68" si="42">",AVG("&amp;S45&amp;") as avg_"&amp;S45</f>
        <v>,AVG(note) as avg_note</v>
      </c>
    </row>
    <row r="46" spans="1:22" x14ac:dyDescent="0.25">
      <c r="B46" t="str">
        <f>C6&amp;" = :"&amp;C6&amp;","</f>
        <v>addressfirstline = :addressfirstline,</v>
      </c>
      <c r="D46" t="str">
        <f>""""&amp;C6&amp;""" =&gt; $member-&gt;"&amp;C6&amp;","</f>
        <v>"addressfirstline" =&gt; $member-&gt;addressfirstline,</v>
      </c>
      <c r="H46" t="str">
        <f>"$this-&gt;"&amp;C6&amp;" = $row['"&amp;C6&amp;"'];"</f>
        <v>$this-&gt;addressfirstline = $row['addressfirstline'];</v>
      </c>
      <c r="L46" t="str">
        <f>"$member-&gt;"&amp;C6&amp;" = $data-&gt;"&amp;C6&amp;";"</f>
        <v>$member-&gt;addressfirstline = $data-&gt;addressfirstline;</v>
      </c>
      <c r="R46" t="str">
        <f t="shared" si="40"/>
        <v>addressfirstline,</v>
      </c>
      <c r="S46" t="str">
        <f>C6</f>
        <v>addressfirstline</v>
      </c>
      <c r="T46" t="str">
        <f t="shared" si="41"/>
        <v>,SUM(addressfirstline) as sum_addressfirstline</v>
      </c>
      <c r="U46" s="1" t="str">
        <f t="shared" si="42"/>
        <v>,AVG(addressfirstline) as avg_addressfirstline</v>
      </c>
    </row>
    <row r="47" spans="1:22" x14ac:dyDescent="0.25">
      <c r="B47" t="str">
        <f>C7&amp;" = :"&amp;C7&amp;","</f>
        <v>addresssecondline = :addresssecondline,</v>
      </c>
      <c r="D47" t="str">
        <f>""""&amp;C7&amp;""" =&gt; $member-&gt;"&amp;C7&amp;","</f>
        <v>"addresssecondline" =&gt; $member-&gt;addresssecondline,</v>
      </c>
      <c r="H47" t="str">
        <f>"$this-&gt;"&amp;C7&amp;" = $row['"&amp;C7&amp;"'];"</f>
        <v>$this-&gt;addresssecondline = $row['addresssecondline'];</v>
      </c>
      <c r="L47" t="str">
        <f>"$member-&gt;"&amp;C7&amp;" = $data-&gt;"&amp;C7&amp;";"</f>
        <v>$member-&gt;addresssecondline = $data-&gt;addresssecondline;</v>
      </c>
      <c r="R47" t="str">
        <f t="shared" si="40"/>
        <v>addresssecondline,</v>
      </c>
      <c r="S47" t="str">
        <f>C7</f>
        <v>addresssecondline</v>
      </c>
      <c r="T47" t="str">
        <f t="shared" si="41"/>
        <v>,SUM(addresssecondline) as sum_addresssecondline</v>
      </c>
      <c r="U47" s="1" t="str">
        <f t="shared" si="42"/>
        <v>,AVG(addresssecondline) as avg_addresssecondline</v>
      </c>
    </row>
    <row r="48" spans="1:22" x14ac:dyDescent="0.25">
      <c r="B48" t="str">
        <f>C8&amp;" = :"&amp;C8&amp;","</f>
        <v>city = :city,</v>
      </c>
      <c r="D48" t="str">
        <f>""""&amp;C8&amp;""" =&gt; $member-&gt;"&amp;C8&amp;","</f>
        <v>"city" =&gt; $member-&gt;city,</v>
      </c>
      <c r="H48" t="str">
        <f>"$this-&gt;"&amp;C8&amp;" = $row['"&amp;C8&amp;"'];"</f>
        <v>$this-&gt;city = $row['city'];</v>
      </c>
      <c r="L48" t="str">
        <f>"$member-&gt;"&amp;C8&amp;" = $data-&gt;"&amp;C8&amp;";"</f>
        <v>$member-&gt;city = $data-&gt;city;</v>
      </c>
      <c r="R48" t="str">
        <f t="shared" si="40"/>
        <v>city,</v>
      </c>
      <c r="S48" t="str">
        <f>C8</f>
        <v>city</v>
      </c>
      <c r="T48" t="str">
        <f t="shared" si="41"/>
        <v>,SUM(city) as sum_city</v>
      </c>
      <c r="U48" s="1" t="str">
        <f t="shared" si="42"/>
        <v>,AVG(city) as avg_city</v>
      </c>
    </row>
    <row r="49" spans="2:21" x14ac:dyDescent="0.25">
      <c r="B49" t="str">
        <f>C9&amp;" = :"&amp;C9&amp;","</f>
        <v>county = :county,</v>
      </c>
      <c r="D49" t="str">
        <f>""""&amp;C9&amp;""" =&gt; $member-&gt;"&amp;C9&amp;","</f>
        <v>"county" =&gt; $member-&gt;county,</v>
      </c>
      <c r="H49" t="str">
        <f>"$this-&gt;"&amp;C9&amp;" = $row['"&amp;C9&amp;"'];"</f>
        <v>$this-&gt;county = $row['county'];</v>
      </c>
      <c r="L49" t="str">
        <f>"$member-&gt;"&amp;C9&amp;" = $data-&gt;"&amp;C9&amp;";"</f>
        <v>$member-&gt;county = $data-&gt;county;</v>
      </c>
      <c r="R49" t="str">
        <f t="shared" si="40"/>
        <v>county,</v>
      </c>
      <c r="S49" t="str">
        <f>C9</f>
        <v>county</v>
      </c>
      <c r="T49" t="str">
        <f t="shared" si="41"/>
        <v>,SUM(county) as sum_county</v>
      </c>
      <c r="U49" s="1" t="str">
        <f t="shared" si="42"/>
        <v>,AVG(county) as avg_county</v>
      </c>
    </row>
    <row r="50" spans="2:21" x14ac:dyDescent="0.25">
      <c r="B50" t="str">
        <f>C10&amp;" = :"&amp;C10&amp;","</f>
        <v>postcode = :postcode,</v>
      </c>
      <c r="D50" t="str">
        <f>""""&amp;C10&amp;""" =&gt; $member-&gt;"&amp;C10&amp;","</f>
        <v>"postcode" =&gt; $member-&gt;postcode,</v>
      </c>
      <c r="H50" t="str">
        <f>"$this-&gt;"&amp;C10&amp;" = $row['"&amp;C10&amp;"'];"</f>
        <v>$this-&gt;postcode = $row['postcode'];</v>
      </c>
      <c r="L50" t="str">
        <f>"$member-&gt;"&amp;C10&amp;" = $data-&gt;"&amp;C10&amp;";"</f>
        <v>$member-&gt;postcode = $data-&gt;postcode;</v>
      </c>
      <c r="R50" t="str">
        <f t="shared" si="40"/>
        <v>country,</v>
      </c>
      <c r="S50" t="str">
        <f>C11</f>
        <v>country</v>
      </c>
      <c r="T50" t="str">
        <f t="shared" si="41"/>
        <v>,SUM(country) as sum_country</v>
      </c>
      <c r="U50" s="1" t="str">
        <f t="shared" si="42"/>
        <v>,AVG(country) as avg_country</v>
      </c>
    </row>
    <row r="51" spans="2:21" x14ac:dyDescent="0.25">
      <c r="B51" t="str">
        <f>C11&amp;" = :"&amp;C11&amp;","</f>
        <v>country = :country,</v>
      </c>
      <c r="D51" t="str">
        <f>""""&amp;C11&amp;""" =&gt; $member-&gt;"&amp;C11&amp;","</f>
        <v>"country" =&gt; $member-&gt;country,</v>
      </c>
      <c r="H51" t="str">
        <f>"$this-&gt;"&amp;C11&amp;" = $row['"&amp;C11&amp;"'];"</f>
        <v>$this-&gt;country = $row['country'];</v>
      </c>
      <c r="L51" t="str">
        <f>"$member-&gt;"&amp;C11&amp;" = $data-&gt;"&amp;C11&amp;";"</f>
        <v>$member-&gt;country = $data-&gt;country;</v>
      </c>
      <c r="R51" t="str">
        <f t="shared" si="40"/>
        <v>email1,</v>
      </c>
      <c r="S51" t="str">
        <f>C13</f>
        <v>email1</v>
      </c>
      <c r="T51" t="str">
        <f t="shared" si="41"/>
        <v>,SUM(email1) as sum_email1</v>
      </c>
      <c r="U51" s="1" t="str">
        <f t="shared" si="42"/>
        <v>,AVG(email1) as avg_email1</v>
      </c>
    </row>
    <row r="52" spans="2:21" x14ac:dyDescent="0.25">
      <c r="B52" t="str">
        <f t="shared" ref="B52:B75" si="43">C12&amp;" = :"&amp;C12&amp;","</f>
        <v>area = :area,</v>
      </c>
      <c r="D52" t="str">
        <f t="shared" ref="D52:D75" si="44">""""&amp;C12&amp;""" =&gt; $member-&gt;"&amp;C12&amp;","</f>
        <v>"area" =&gt; $member-&gt;area,</v>
      </c>
      <c r="H52" t="str">
        <f t="shared" ref="H52:H75" si="45">"$this-&gt;"&amp;C12&amp;" = $row['"&amp;C12&amp;"'];"</f>
        <v>$this-&gt;area = $row['area'];</v>
      </c>
      <c r="L52" t="str">
        <f t="shared" ref="L52:L75" si="46">"$member-&gt;"&amp;C12&amp;" = $data-&gt;"&amp;C12&amp;";"</f>
        <v>$member-&gt;area = $data-&gt;area;</v>
      </c>
      <c r="R52" t="str">
        <f t="shared" ref="R52:R75" si="47">S52&amp;","</f>
        <v>phone1,</v>
      </c>
      <c r="S52" t="str">
        <f t="shared" ref="S52:S75" si="48">C14</f>
        <v>phone1</v>
      </c>
      <c r="T52" t="str">
        <f t="shared" ref="T52:T75" si="49">",SUM("&amp;S52&amp;") as sum_"&amp;S52</f>
        <v>,SUM(phone1) as sum_phone1</v>
      </c>
      <c r="U52" s="1" t="str">
        <f t="shared" ref="U52:U75" si="50">",AVG("&amp;S52&amp;") as avg_"&amp;S52</f>
        <v>,AVG(phone1) as avg_phone1</v>
      </c>
    </row>
    <row r="53" spans="2:21" x14ac:dyDescent="0.25">
      <c r="B53" t="str">
        <f t="shared" si="43"/>
        <v>email1 = :email1,</v>
      </c>
      <c r="D53" t="str">
        <f t="shared" si="44"/>
        <v>"email1" =&gt; $member-&gt;email1,</v>
      </c>
      <c r="H53" t="str">
        <f t="shared" si="45"/>
        <v>$this-&gt;email1 = $row['email1'];</v>
      </c>
      <c r="L53" t="str">
        <f t="shared" si="46"/>
        <v>$member-&gt;email1 = $data-&gt;email1;</v>
      </c>
      <c r="R53" t="str">
        <f t="shared" si="47"/>
        <v>addressfirstline2,</v>
      </c>
      <c r="S53" t="str">
        <f t="shared" si="48"/>
        <v>addressfirstline2</v>
      </c>
      <c r="T53" t="str">
        <f t="shared" si="49"/>
        <v>,SUM(addressfirstline2) as sum_addressfirstline2</v>
      </c>
      <c r="U53" s="1" t="str">
        <f t="shared" si="50"/>
        <v>,AVG(addressfirstline2) as avg_addressfirstline2</v>
      </c>
    </row>
    <row r="54" spans="2:21" x14ac:dyDescent="0.25">
      <c r="B54" t="str">
        <f t="shared" si="43"/>
        <v>phone1 = :phone1,</v>
      </c>
      <c r="D54" t="str">
        <f t="shared" si="44"/>
        <v>"phone1" =&gt; $member-&gt;phone1,</v>
      </c>
      <c r="H54" t="str">
        <f t="shared" si="45"/>
        <v>$this-&gt;phone1 = $row['phone1'];</v>
      </c>
      <c r="L54" t="str">
        <f t="shared" si="46"/>
        <v>$member-&gt;phone1 = $data-&gt;phone1;</v>
      </c>
      <c r="R54" t="str">
        <f t="shared" si="47"/>
        <v>addresssecondline2,</v>
      </c>
      <c r="S54" t="str">
        <f t="shared" si="48"/>
        <v>addresssecondline2</v>
      </c>
      <c r="T54" t="str">
        <f t="shared" si="49"/>
        <v>,SUM(addresssecondline2) as sum_addresssecondline2</v>
      </c>
      <c r="U54" s="1" t="str">
        <f t="shared" si="50"/>
        <v>,AVG(addresssecondline2) as avg_addresssecondline2</v>
      </c>
    </row>
    <row r="55" spans="2:21" x14ac:dyDescent="0.25">
      <c r="B55" t="str">
        <f t="shared" si="43"/>
        <v>addressfirstline2 = :addressfirstline2,</v>
      </c>
      <c r="D55" t="str">
        <f t="shared" si="44"/>
        <v>"addressfirstline2" =&gt; $member-&gt;addressfirstline2,</v>
      </c>
      <c r="H55" t="str">
        <f t="shared" si="45"/>
        <v>$this-&gt;addressfirstline2 = $row['addressfirstline2'];</v>
      </c>
      <c r="L55" t="str">
        <f t="shared" si="46"/>
        <v>$member-&gt;addressfirstline2 = $data-&gt;addressfirstline2;</v>
      </c>
      <c r="R55" t="str">
        <f t="shared" si="47"/>
        <v>city2,</v>
      </c>
      <c r="S55" t="str">
        <f t="shared" si="48"/>
        <v>city2</v>
      </c>
      <c r="T55" t="str">
        <f t="shared" si="49"/>
        <v>,SUM(city2) as sum_city2</v>
      </c>
      <c r="U55" s="1" t="str">
        <f t="shared" si="50"/>
        <v>,AVG(city2) as avg_city2</v>
      </c>
    </row>
    <row r="56" spans="2:21" x14ac:dyDescent="0.25">
      <c r="B56" t="str">
        <f t="shared" si="43"/>
        <v>addresssecondline2 = :addresssecondline2,</v>
      </c>
      <c r="D56" t="str">
        <f t="shared" si="44"/>
        <v>"addresssecondline2" =&gt; $member-&gt;addresssecondline2,</v>
      </c>
      <c r="H56" t="str">
        <f t="shared" si="45"/>
        <v>$this-&gt;addresssecondline2 = $row['addresssecondline2'];</v>
      </c>
      <c r="L56" t="str">
        <f t="shared" si="46"/>
        <v>$member-&gt;addresssecondline2 = $data-&gt;addresssecondline2;</v>
      </c>
      <c r="R56" t="str">
        <f t="shared" si="47"/>
        <v>county2,</v>
      </c>
      <c r="S56" t="str">
        <f t="shared" si="48"/>
        <v>county2</v>
      </c>
      <c r="T56" t="str">
        <f t="shared" si="49"/>
        <v>,SUM(county2) as sum_county2</v>
      </c>
      <c r="U56" s="1" t="str">
        <f t="shared" si="50"/>
        <v>,AVG(county2) as avg_county2</v>
      </c>
    </row>
    <row r="57" spans="2:21" x14ac:dyDescent="0.25">
      <c r="B57" t="str">
        <f t="shared" si="43"/>
        <v>city2 = :city2,</v>
      </c>
      <c r="D57" t="str">
        <f t="shared" si="44"/>
        <v>"city2" =&gt; $member-&gt;city2,</v>
      </c>
      <c r="H57" t="str">
        <f t="shared" si="45"/>
        <v>$this-&gt;city2 = $row['city2'];</v>
      </c>
      <c r="L57" t="str">
        <f t="shared" si="46"/>
        <v>$member-&gt;city2 = $data-&gt;city2;</v>
      </c>
      <c r="R57" t="str">
        <f t="shared" si="47"/>
        <v>postcode2,</v>
      </c>
      <c r="S57" t="str">
        <f t="shared" si="48"/>
        <v>postcode2</v>
      </c>
      <c r="T57" t="str">
        <f t="shared" si="49"/>
        <v>,SUM(postcode2) as sum_postcode2</v>
      </c>
      <c r="U57" s="1" t="str">
        <f t="shared" si="50"/>
        <v>,AVG(postcode2) as avg_postcode2</v>
      </c>
    </row>
    <row r="58" spans="2:21" x14ac:dyDescent="0.25">
      <c r="B58" t="str">
        <f t="shared" si="43"/>
        <v>county2 = :county2,</v>
      </c>
      <c r="D58" t="str">
        <f t="shared" si="44"/>
        <v>"county2" =&gt; $member-&gt;county2,</v>
      </c>
      <c r="H58" t="str">
        <f t="shared" si="45"/>
        <v>$this-&gt;county2 = $row['county2'];</v>
      </c>
      <c r="L58" t="str">
        <f t="shared" si="46"/>
        <v>$member-&gt;county2 = $data-&gt;county2;</v>
      </c>
      <c r="R58" t="str">
        <f t="shared" si="47"/>
        <v>country2,</v>
      </c>
      <c r="S58" t="str">
        <f t="shared" si="48"/>
        <v>country2</v>
      </c>
      <c r="T58" t="str">
        <f t="shared" si="49"/>
        <v>,SUM(country2) as sum_country2</v>
      </c>
      <c r="U58" s="1" t="str">
        <f t="shared" si="50"/>
        <v>,AVG(country2) as avg_country2</v>
      </c>
    </row>
    <row r="59" spans="2:21" x14ac:dyDescent="0.25">
      <c r="B59" t="str">
        <f t="shared" si="43"/>
        <v>postcode2 = :postcode2,</v>
      </c>
      <c r="D59" t="str">
        <f t="shared" si="44"/>
        <v>"postcode2" =&gt; $member-&gt;postcode2,</v>
      </c>
      <c r="H59" t="str">
        <f t="shared" si="45"/>
        <v>$this-&gt;postcode2 = $row['postcode2'];</v>
      </c>
      <c r="L59" t="str">
        <f t="shared" si="46"/>
        <v>$member-&gt;postcode2 = $data-&gt;postcode2;</v>
      </c>
      <c r="R59" t="str">
        <f t="shared" si="47"/>
        <v>email2,</v>
      </c>
      <c r="S59" t="str">
        <f t="shared" si="48"/>
        <v>email2</v>
      </c>
      <c r="T59" t="str">
        <f t="shared" si="49"/>
        <v>,SUM(email2) as sum_email2</v>
      </c>
      <c r="U59" s="1" t="str">
        <f t="shared" si="50"/>
        <v>,AVG(email2) as avg_email2</v>
      </c>
    </row>
    <row r="60" spans="2:21" x14ac:dyDescent="0.25">
      <c r="B60" t="str">
        <f t="shared" si="43"/>
        <v>country2 = :country2,</v>
      </c>
      <c r="D60" t="str">
        <f t="shared" si="44"/>
        <v>"country2" =&gt; $member-&gt;country2,</v>
      </c>
      <c r="H60" t="str">
        <f t="shared" si="45"/>
        <v>$this-&gt;country2 = $row['country2'];</v>
      </c>
      <c r="L60" t="str">
        <f t="shared" si="46"/>
        <v>$member-&gt;country2 = $data-&gt;country2;</v>
      </c>
      <c r="R60" t="str">
        <f t="shared" si="47"/>
        <v>phone2,</v>
      </c>
      <c r="S60" t="str">
        <f t="shared" si="48"/>
        <v>phone2</v>
      </c>
      <c r="T60" t="str">
        <f t="shared" si="49"/>
        <v>,SUM(phone2) as sum_phone2</v>
      </c>
      <c r="U60" s="1" t="str">
        <f t="shared" si="50"/>
        <v>,AVG(phone2) as avg_phone2</v>
      </c>
    </row>
    <row r="61" spans="2:21" x14ac:dyDescent="0.25">
      <c r="B61" t="str">
        <f t="shared" si="43"/>
        <v>email2 = :email2,</v>
      </c>
      <c r="D61" t="str">
        <f t="shared" si="44"/>
        <v>"email2" =&gt; $member-&gt;email2,</v>
      </c>
      <c r="H61" t="str">
        <f t="shared" si="45"/>
        <v>$this-&gt;email2 = $row['email2'];</v>
      </c>
      <c r="L61" t="str">
        <f t="shared" si="46"/>
        <v>$member-&gt;email2 = $data-&gt;email2;</v>
      </c>
      <c r="R61" t="str">
        <f t="shared" si="47"/>
        <v>statusID,</v>
      </c>
      <c r="S61" t="str">
        <f t="shared" si="48"/>
        <v>statusID</v>
      </c>
      <c r="T61" t="str">
        <f t="shared" si="49"/>
        <v>,SUM(statusID) as sum_statusID</v>
      </c>
      <c r="U61" s="1" t="str">
        <f t="shared" si="50"/>
        <v>,AVG(statusID) as avg_statusID</v>
      </c>
    </row>
    <row r="62" spans="2:21" x14ac:dyDescent="0.25">
      <c r="B62" t="str">
        <f t="shared" si="43"/>
        <v>phone2 = :phone2,</v>
      </c>
      <c r="D62" t="str">
        <f t="shared" si="44"/>
        <v>"phone2" =&gt; $member-&gt;phone2,</v>
      </c>
      <c r="H62" t="str">
        <f t="shared" si="45"/>
        <v>$this-&gt;phone2 = $row['phone2'];</v>
      </c>
      <c r="L62" t="str">
        <f t="shared" si="46"/>
        <v>$member-&gt;phone2 = $data-&gt;phone2;</v>
      </c>
      <c r="R62" t="str">
        <f t="shared" si="47"/>
        <v>expirydate,</v>
      </c>
      <c r="S62" t="str">
        <f t="shared" si="48"/>
        <v>expirydate</v>
      </c>
      <c r="T62" t="str">
        <f t="shared" si="49"/>
        <v>,SUM(expirydate) as sum_expirydate</v>
      </c>
      <c r="U62" s="1" t="str">
        <f t="shared" si="50"/>
        <v>,AVG(expirydate) as avg_expirydate</v>
      </c>
    </row>
    <row r="63" spans="2:21" x14ac:dyDescent="0.25">
      <c r="B63" t="str">
        <f t="shared" si="43"/>
        <v>statusID = :statusID,</v>
      </c>
      <c r="D63" t="str">
        <f t="shared" si="44"/>
        <v>"statusID" =&gt; $member-&gt;statusID,</v>
      </c>
      <c r="H63" t="str">
        <f t="shared" si="45"/>
        <v>$this-&gt;statusID = $row['statusID'];</v>
      </c>
      <c r="L63" t="str">
        <f t="shared" si="46"/>
        <v>$member-&gt;statusID = $data-&gt;statusID;</v>
      </c>
      <c r="R63" t="str">
        <f t="shared" si="47"/>
        <v>joindate,</v>
      </c>
      <c r="S63" t="str">
        <f t="shared" si="48"/>
        <v>joindate</v>
      </c>
      <c r="T63" t="str">
        <f t="shared" si="49"/>
        <v>,SUM(joindate) as sum_joindate</v>
      </c>
      <c r="U63" s="1" t="str">
        <f t="shared" si="50"/>
        <v>,AVG(joindate) as avg_joindate</v>
      </c>
    </row>
    <row r="64" spans="2:21" x14ac:dyDescent="0.25">
      <c r="B64" t="str">
        <f t="shared" si="43"/>
        <v>expirydate = :expirydate,</v>
      </c>
      <c r="D64" t="str">
        <f t="shared" si="44"/>
        <v>"expirydate" =&gt; $member-&gt;expirydate,</v>
      </c>
      <c r="H64" t="str">
        <f t="shared" si="45"/>
        <v>$this-&gt;expirydate = $row['expirydate'];</v>
      </c>
      <c r="L64" t="str">
        <f t="shared" si="46"/>
        <v>$member-&gt;expirydate = $data-&gt;expirydate;</v>
      </c>
      <c r="R64" t="str">
        <f t="shared" si="47"/>
        <v>updatedate,</v>
      </c>
      <c r="S64" t="str">
        <f t="shared" si="48"/>
        <v>updatedate</v>
      </c>
      <c r="T64" t="str">
        <f t="shared" si="49"/>
        <v>,SUM(updatedate) as sum_updatedate</v>
      </c>
      <c r="U64" s="1" t="str">
        <f t="shared" si="50"/>
        <v>,AVG(updatedate) as avg_updatedate</v>
      </c>
    </row>
    <row r="65" spans="2:21" x14ac:dyDescent="0.25">
      <c r="B65" t="str">
        <f t="shared" si="43"/>
        <v>joindate = :joindate,</v>
      </c>
      <c r="D65" t="str">
        <f t="shared" si="44"/>
        <v>"joindate" =&gt; $member-&gt;joindate,</v>
      </c>
      <c r="H65" t="str">
        <f t="shared" si="45"/>
        <v>$this-&gt;joindate = $row['joindate'];</v>
      </c>
      <c r="L65" t="str">
        <f t="shared" si="46"/>
        <v>$member-&gt;joindate = $data-&gt;joindate;</v>
      </c>
      <c r="R65" t="str">
        <f t="shared" si="47"/>
        <v>deletedate,</v>
      </c>
      <c r="S65" t="str">
        <f t="shared" si="48"/>
        <v>deletedate</v>
      </c>
      <c r="T65" t="str">
        <f t="shared" si="49"/>
        <v>,SUM(deletedate) as sum_deletedate</v>
      </c>
      <c r="U65" s="1" t="str">
        <f t="shared" si="50"/>
        <v>,AVG(deletedate) as avg_deletedate</v>
      </c>
    </row>
    <row r="66" spans="2:21" x14ac:dyDescent="0.25">
      <c r="B66" t="str">
        <f t="shared" si="43"/>
        <v>updatedate = :updatedate,</v>
      </c>
      <c r="D66" t="str">
        <f t="shared" si="44"/>
        <v>"updatedate" =&gt; $member-&gt;updatedate,</v>
      </c>
      <c r="H66" t="str">
        <f t="shared" si="45"/>
        <v>$this-&gt;updatedate = $row['updatedate'];</v>
      </c>
      <c r="L66" t="str">
        <f t="shared" si="46"/>
        <v>$member-&gt;updatedate = $data-&gt;updatedate;</v>
      </c>
      <c r="R66" t="str">
        <f t="shared" si="47"/>
        <v>repeatpayment,</v>
      </c>
      <c r="S66" t="str">
        <f t="shared" si="48"/>
        <v>repeatpayment</v>
      </c>
      <c r="T66" t="str">
        <f t="shared" si="49"/>
        <v>,SUM(repeatpayment) as sum_repeatpayment</v>
      </c>
      <c r="U66" s="1" t="str">
        <f t="shared" si="50"/>
        <v>,AVG(repeatpayment) as avg_repeatpayment</v>
      </c>
    </row>
    <row r="67" spans="2:21" x14ac:dyDescent="0.25">
      <c r="B67" t="str">
        <f t="shared" si="43"/>
        <v>deletedate = :deletedate,</v>
      </c>
      <c r="D67" t="str">
        <f t="shared" si="44"/>
        <v>"deletedate" =&gt; $member-&gt;deletedate,</v>
      </c>
      <c r="H67" t="str">
        <f t="shared" si="45"/>
        <v>$this-&gt;deletedate = $row['deletedate'];</v>
      </c>
      <c r="L67" t="str">
        <f t="shared" si="46"/>
        <v>$member-&gt;deletedate = $data-&gt;deletedate;</v>
      </c>
      <c r="R67" t="str">
        <f t="shared" si="47"/>
        <v>recurringpayment,</v>
      </c>
      <c r="S67" t="str">
        <f t="shared" si="48"/>
        <v>recurringpayment</v>
      </c>
      <c r="T67" t="str">
        <f t="shared" si="49"/>
        <v>,SUM(recurringpayment) as sum_recurringpayment</v>
      </c>
      <c r="U67" s="1" t="str">
        <f t="shared" si="50"/>
        <v>,AVG(recurringpayment) as avg_recurringpayment</v>
      </c>
    </row>
    <row r="68" spans="2:21" x14ac:dyDescent="0.25">
      <c r="B68" t="str">
        <f t="shared" si="43"/>
        <v>repeatpayment = :repeatpayment,</v>
      </c>
      <c r="D68" t="str">
        <f t="shared" si="44"/>
        <v>"repeatpayment" =&gt; $member-&gt;repeatpayment,</v>
      </c>
      <c r="H68" t="str">
        <f t="shared" si="45"/>
        <v>$this-&gt;repeatpayment = $row['repeatpayment'];</v>
      </c>
      <c r="L68" t="str">
        <f t="shared" si="46"/>
        <v>$member-&gt;repeatpayment = $data-&gt;repeatpayment;</v>
      </c>
      <c r="R68" t="str">
        <f t="shared" si="47"/>
        <v>username,</v>
      </c>
      <c r="S68" t="str">
        <f t="shared" si="48"/>
        <v>username</v>
      </c>
      <c r="T68" t="str">
        <f t="shared" si="49"/>
        <v>,SUM(username) as sum_username</v>
      </c>
      <c r="U68" s="1" t="str">
        <f t="shared" si="50"/>
        <v>,AVG(username) as avg_username</v>
      </c>
    </row>
    <row r="69" spans="2:21" x14ac:dyDescent="0.25">
      <c r="B69" t="str">
        <f t="shared" si="43"/>
        <v>recurringpayment = :recurringpayment,</v>
      </c>
      <c r="D69" t="str">
        <f t="shared" si="44"/>
        <v>"recurringpayment" =&gt; $member-&gt;recurringpayment,</v>
      </c>
      <c r="H69" t="str">
        <f t="shared" si="45"/>
        <v>$this-&gt;recurringpayment = $row['recurringpayment'];</v>
      </c>
      <c r="L69" t="str">
        <f t="shared" si="46"/>
        <v>$member-&gt;recurringpayment = $data-&gt;recurringpayment;</v>
      </c>
      <c r="R69" t="str">
        <f t="shared" si="47"/>
        <v>gdpr_email,</v>
      </c>
      <c r="S69" t="str">
        <f t="shared" si="48"/>
        <v>gdpr_email</v>
      </c>
      <c r="T69" t="str">
        <f t="shared" si="49"/>
        <v>,SUM(gdpr_email) as sum_gdpr_email</v>
      </c>
      <c r="U69" s="1" t="str">
        <f t="shared" si="50"/>
        <v>,AVG(gdpr_email) as avg_gdpr_email</v>
      </c>
    </row>
    <row r="70" spans="2:21" x14ac:dyDescent="0.25">
      <c r="B70" t="str">
        <f t="shared" si="43"/>
        <v>username = :username,</v>
      </c>
      <c r="D70" t="str">
        <f t="shared" si="44"/>
        <v>"username" =&gt; $member-&gt;username,</v>
      </c>
      <c r="H70" t="str">
        <f t="shared" si="45"/>
        <v>$this-&gt;username = $row['username'];</v>
      </c>
      <c r="L70" t="str">
        <f t="shared" si="46"/>
        <v>$member-&gt;username = $data-&gt;username;</v>
      </c>
      <c r="R70" t="str">
        <f t="shared" si="47"/>
        <v>gdpr_tel,</v>
      </c>
      <c r="S70" t="str">
        <f t="shared" si="48"/>
        <v>gdpr_tel</v>
      </c>
      <c r="T70" t="str">
        <f t="shared" si="49"/>
        <v>,SUM(gdpr_tel) as sum_gdpr_tel</v>
      </c>
      <c r="U70" s="1" t="str">
        <f t="shared" si="50"/>
        <v>,AVG(gdpr_tel) as avg_gdpr_tel</v>
      </c>
    </row>
    <row r="71" spans="2:21" x14ac:dyDescent="0.25">
      <c r="B71" t="str">
        <f t="shared" si="43"/>
        <v>gdpr_email = :gdpr_email,</v>
      </c>
      <c r="D71" t="str">
        <f t="shared" si="44"/>
        <v>"gdpr_email" =&gt; $member-&gt;gdpr_email,</v>
      </c>
      <c r="H71" t="str">
        <f t="shared" si="45"/>
        <v>$this-&gt;gdpr_email = $row['gdpr_email'];</v>
      </c>
      <c r="L71" t="str">
        <f t="shared" si="46"/>
        <v>$member-&gt;gdpr_email = $data-&gt;gdpr_email;</v>
      </c>
      <c r="R71" t="str">
        <f t="shared" si="47"/>
        <v>gdpr_address,</v>
      </c>
      <c r="S71" t="str">
        <f t="shared" si="48"/>
        <v>gdpr_address</v>
      </c>
      <c r="T71" t="str">
        <f t="shared" si="49"/>
        <v>,SUM(gdpr_address) as sum_gdpr_address</v>
      </c>
      <c r="U71" s="1" t="str">
        <f t="shared" si="50"/>
        <v>,AVG(gdpr_address) as avg_gdpr_address</v>
      </c>
    </row>
    <row r="72" spans="2:21" x14ac:dyDescent="0.25">
      <c r="B72" t="str">
        <f t="shared" si="43"/>
        <v>gdpr_tel = :gdpr_tel,</v>
      </c>
      <c r="D72" t="str">
        <f t="shared" si="44"/>
        <v>"gdpr_tel" =&gt; $member-&gt;gdpr_tel,</v>
      </c>
      <c r="H72" t="str">
        <f t="shared" si="45"/>
        <v>$this-&gt;gdpr_tel = $row['gdpr_tel'];</v>
      </c>
      <c r="L72" t="str">
        <f t="shared" si="46"/>
        <v>$member-&gt;gdpr_tel = $data-&gt;gdpr_tel;</v>
      </c>
      <c r="R72" t="str">
        <f t="shared" si="47"/>
        <v>gdpr_sm,</v>
      </c>
      <c r="S72" t="str">
        <f t="shared" si="48"/>
        <v>gdpr_sm</v>
      </c>
      <c r="T72" t="str">
        <f t="shared" si="49"/>
        <v>,SUM(gdpr_sm) as sum_gdpr_sm</v>
      </c>
      <c r="U72" s="1" t="str">
        <f t="shared" si="50"/>
        <v>,AVG(gdpr_sm) as avg_gdpr_sm</v>
      </c>
    </row>
    <row r="73" spans="2:21" x14ac:dyDescent="0.25">
      <c r="B73" t="str">
        <f t="shared" si="43"/>
        <v>gdpr_address = :gdpr_address,</v>
      </c>
      <c r="D73" t="str">
        <f t="shared" si="44"/>
        <v>"gdpr_address" =&gt; $member-&gt;gdpr_address,</v>
      </c>
      <c r="H73" t="str">
        <f t="shared" si="45"/>
        <v>$this-&gt;gdpr_address = $row['gdpr_address'];</v>
      </c>
      <c r="L73" t="str">
        <f t="shared" si="46"/>
        <v>$member-&gt;gdpr_address = $data-&gt;gdpr_address;</v>
      </c>
      <c r="R73" t="str">
        <f t="shared" si="47"/>
        <v>0,</v>
      </c>
      <c r="S73">
        <f t="shared" si="48"/>
        <v>0</v>
      </c>
      <c r="T73" t="str">
        <f t="shared" si="49"/>
        <v>,SUM(0) as sum_0</v>
      </c>
      <c r="U73" s="1" t="str">
        <f t="shared" si="50"/>
        <v>,AVG(0) as avg_0</v>
      </c>
    </row>
    <row r="74" spans="2:21" x14ac:dyDescent="0.25">
      <c r="B74" t="str">
        <f t="shared" si="43"/>
        <v>gdpr_sm = :gdpr_sm,</v>
      </c>
      <c r="D74" t="str">
        <f t="shared" si="44"/>
        <v>"gdpr_sm" =&gt; $member-&gt;gdpr_sm,</v>
      </c>
      <c r="H74" t="str">
        <f t="shared" si="45"/>
        <v>$this-&gt;gdpr_sm = $row['gdpr_sm'];</v>
      </c>
      <c r="L74" t="str">
        <f t="shared" si="46"/>
        <v>$member-&gt;gdpr_sm = $data-&gt;gdpr_sm;</v>
      </c>
      <c r="R74" t="str">
        <f t="shared" si="47"/>
        <v>0,</v>
      </c>
      <c r="S74">
        <f t="shared" si="48"/>
        <v>0</v>
      </c>
      <c r="T74" t="str">
        <f t="shared" si="49"/>
        <v>,SUM(0) as sum_0</v>
      </c>
      <c r="U74" s="1" t="str">
        <f t="shared" si="50"/>
        <v>,AVG(0) as avg_0</v>
      </c>
    </row>
    <row r="75" spans="2:21" x14ac:dyDescent="0.25">
      <c r="U75" s="1"/>
    </row>
  </sheetData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8"/>
  <sheetViews>
    <sheetView workbookViewId="0">
      <selection activeCell="A4" sqref="A4:A17"/>
    </sheetView>
  </sheetViews>
  <sheetFormatPr defaultRowHeight="15" x14ac:dyDescent="0.25"/>
  <sheetData>
    <row r="1" spans="1:22" x14ac:dyDescent="0.25">
      <c r="A1" t="s">
        <v>0</v>
      </c>
      <c r="J1" t="s">
        <v>65</v>
      </c>
      <c r="V1" t="s">
        <v>0</v>
      </c>
    </row>
    <row r="3" spans="1:22" x14ac:dyDescent="0.25">
      <c r="A3" t="s">
        <v>1</v>
      </c>
      <c r="J3" t="s">
        <v>34</v>
      </c>
      <c r="V3" t="s">
        <v>31</v>
      </c>
    </row>
    <row r="4" spans="1:22" x14ac:dyDescent="0.25">
      <c r="A4" t="s">
        <v>2</v>
      </c>
      <c r="J4" t="s">
        <v>35</v>
      </c>
      <c r="V4" t="s">
        <v>2</v>
      </c>
    </row>
    <row r="5" spans="1:22" x14ac:dyDescent="0.25">
      <c r="A5" t="s">
        <v>3</v>
      </c>
      <c r="J5" t="s">
        <v>36</v>
      </c>
      <c r="V5" t="s">
        <v>3</v>
      </c>
    </row>
    <row r="6" spans="1:22" x14ac:dyDescent="0.25">
      <c r="A6" t="s">
        <v>4</v>
      </c>
      <c r="J6" t="s">
        <v>37</v>
      </c>
      <c r="V6" t="s">
        <v>4</v>
      </c>
    </row>
    <row r="7" spans="1:22" x14ac:dyDescent="0.25">
      <c r="A7" t="s">
        <v>5</v>
      </c>
      <c r="J7" t="s">
        <v>38</v>
      </c>
      <c r="V7" t="s">
        <v>5</v>
      </c>
    </row>
    <row r="8" spans="1:22" x14ac:dyDescent="0.25">
      <c r="A8" t="s">
        <v>6</v>
      </c>
      <c r="J8" t="s">
        <v>39</v>
      </c>
      <c r="V8" t="s">
        <v>6</v>
      </c>
    </row>
    <row r="9" spans="1:22" x14ac:dyDescent="0.25">
      <c r="A9" t="s">
        <v>7</v>
      </c>
      <c r="J9" t="s">
        <v>40</v>
      </c>
      <c r="V9" t="s">
        <v>7</v>
      </c>
    </row>
    <row r="10" spans="1:22" x14ac:dyDescent="0.25">
      <c r="A10" t="s">
        <v>8</v>
      </c>
      <c r="J10" t="s">
        <v>41</v>
      </c>
      <c r="V10" t="s">
        <v>8</v>
      </c>
    </row>
    <row r="11" spans="1:22" x14ac:dyDescent="0.25">
      <c r="A11" t="s">
        <v>9</v>
      </c>
      <c r="J11" t="s">
        <v>49</v>
      </c>
      <c r="V11" t="s">
        <v>9</v>
      </c>
    </row>
    <row r="12" spans="1:22" x14ac:dyDescent="0.25">
      <c r="A12" t="s">
        <v>10</v>
      </c>
      <c r="J12" t="s">
        <v>66</v>
      </c>
      <c r="V12" t="s">
        <v>10</v>
      </c>
    </row>
    <row r="13" spans="1:22" x14ac:dyDescent="0.25">
      <c r="A13" t="s">
        <v>11</v>
      </c>
      <c r="V13" t="s">
        <v>11</v>
      </c>
    </row>
    <row r="14" spans="1:22" x14ac:dyDescent="0.25">
      <c r="A14" t="s">
        <v>12</v>
      </c>
      <c r="J14" t="s">
        <v>42</v>
      </c>
      <c r="V14" t="s">
        <v>12</v>
      </c>
    </row>
    <row r="15" spans="1:22" x14ac:dyDescent="0.25">
      <c r="A15" t="s">
        <v>13</v>
      </c>
      <c r="J15" t="s">
        <v>43</v>
      </c>
      <c r="V15" t="s">
        <v>13</v>
      </c>
    </row>
    <row r="16" spans="1:22" x14ac:dyDescent="0.25">
      <c r="A16" t="s">
        <v>14</v>
      </c>
      <c r="J16" t="s">
        <v>44</v>
      </c>
      <c r="V16" t="s">
        <v>14</v>
      </c>
    </row>
    <row r="17" spans="1:22" x14ac:dyDescent="0.25">
      <c r="A17" t="s">
        <v>15</v>
      </c>
      <c r="J17" t="s">
        <v>45</v>
      </c>
      <c r="V17" t="s">
        <v>15</v>
      </c>
    </row>
    <row r="18" spans="1:22" x14ac:dyDescent="0.25">
      <c r="A18" t="s">
        <v>16</v>
      </c>
      <c r="J18" t="s">
        <v>46</v>
      </c>
      <c r="V18" t="s">
        <v>16</v>
      </c>
    </row>
    <row r="19" spans="1:22" x14ac:dyDescent="0.25">
      <c r="A19" t="s">
        <v>17</v>
      </c>
      <c r="J19" t="s">
        <v>47</v>
      </c>
      <c r="V19" t="s">
        <v>17</v>
      </c>
    </row>
    <row r="20" spans="1:22" x14ac:dyDescent="0.25">
      <c r="A20" t="s">
        <v>18</v>
      </c>
      <c r="J20" t="s">
        <v>48</v>
      </c>
      <c r="V20" t="s">
        <v>18</v>
      </c>
    </row>
    <row r="21" spans="1:22" x14ac:dyDescent="0.25">
      <c r="A21" t="s">
        <v>19</v>
      </c>
      <c r="V21" t="s">
        <v>19</v>
      </c>
    </row>
    <row r="22" spans="1:22" x14ac:dyDescent="0.25">
      <c r="A22" t="s">
        <v>20</v>
      </c>
      <c r="J22" t="s">
        <v>50</v>
      </c>
      <c r="V22" t="s">
        <v>20</v>
      </c>
    </row>
    <row r="23" spans="1:22" x14ac:dyDescent="0.25">
      <c r="A23" t="s">
        <v>21</v>
      </c>
      <c r="J23" t="s">
        <v>51</v>
      </c>
      <c r="V23" t="s">
        <v>21</v>
      </c>
    </row>
    <row r="24" spans="1:22" x14ac:dyDescent="0.25">
      <c r="A24" t="s">
        <v>22</v>
      </c>
      <c r="J24" t="s">
        <v>52</v>
      </c>
      <c r="V24" t="s">
        <v>22</v>
      </c>
    </row>
    <row r="25" spans="1:22" x14ac:dyDescent="0.25">
      <c r="A25" t="s">
        <v>23</v>
      </c>
      <c r="J25" t="s">
        <v>53</v>
      </c>
      <c r="V25" t="s">
        <v>23</v>
      </c>
    </row>
    <row r="26" spans="1:22" x14ac:dyDescent="0.25">
      <c r="A26" t="s">
        <v>24</v>
      </c>
      <c r="J26" t="s">
        <v>54</v>
      </c>
      <c r="V26" t="s">
        <v>24</v>
      </c>
    </row>
    <row r="27" spans="1:22" x14ac:dyDescent="0.25">
      <c r="A27" t="s">
        <v>25</v>
      </c>
      <c r="J27" t="s">
        <v>55</v>
      </c>
      <c r="V27" t="s">
        <v>25</v>
      </c>
    </row>
    <row r="28" spans="1:22" x14ac:dyDescent="0.25">
      <c r="A28" t="s">
        <v>26</v>
      </c>
      <c r="J28" t="s">
        <v>56</v>
      </c>
      <c r="V28" t="s">
        <v>26</v>
      </c>
    </row>
    <row r="29" spans="1:22" x14ac:dyDescent="0.25">
      <c r="A29" t="s">
        <v>27</v>
      </c>
      <c r="J29" t="s">
        <v>57</v>
      </c>
      <c r="V29" t="s">
        <v>27</v>
      </c>
    </row>
    <row r="30" spans="1:22" x14ac:dyDescent="0.25">
      <c r="J30" t="s">
        <v>58</v>
      </c>
    </row>
    <row r="31" spans="1:22" x14ac:dyDescent="0.25">
      <c r="A31" t="s">
        <v>28</v>
      </c>
      <c r="J31" t="s">
        <v>59</v>
      </c>
      <c r="V31" t="s">
        <v>28</v>
      </c>
    </row>
    <row r="32" spans="1:22" x14ac:dyDescent="0.25">
      <c r="A32" t="s">
        <v>29</v>
      </c>
      <c r="J32" t="s">
        <v>60</v>
      </c>
      <c r="V32" t="s">
        <v>29</v>
      </c>
    </row>
    <row r="33" spans="1:22" x14ac:dyDescent="0.25">
      <c r="A33" t="s">
        <v>30</v>
      </c>
      <c r="J33" t="s">
        <v>61</v>
      </c>
      <c r="V33" t="s">
        <v>32</v>
      </c>
    </row>
    <row r="34" spans="1:22" x14ac:dyDescent="0.25">
      <c r="A34" t="s">
        <v>64</v>
      </c>
      <c r="V34" t="s">
        <v>33</v>
      </c>
    </row>
    <row r="35" spans="1:22" x14ac:dyDescent="0.25">
      <c r="J35" t="s">
        <v>28</v>
      </c>
    </row>
    <row r="36" spans="1:22" x14ac:dyDescent="0.25">
      <c r="J36" t="s">
        <v>67</v>
      </c>
    </row>
    <row r="37" spans="1:22" x14ac:dyDescent="0.25">
      <c r="J37" t="s">
        <v>62</v>
      </c>
    </row>
    <row r="38" spans="1:22" x14ac:dyDescent="0.25">
      <c r="J38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Carthy</dc:creator>
  <cp:lastModifiedBy>Neil Carthy</cp:lastModifiedBy>
  <dcterms:created xsi:type="dcterms:W3CDTF">2017-12-29T16:42:49Z</dcterms:created>
  <dcterms:modified xsi:type="dcterms:W3CDTF">2021-02-03T23:16:51Z</dcterms:modified>
</cp:coreProperties>
</file>